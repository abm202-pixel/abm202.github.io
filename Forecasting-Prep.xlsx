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a657be6869927ff/"/>
    </mc:Choice>
  </mc:AlternateContent>
  <xr:revisionPtr revIDLastSave="0" documentId="8_{BBA88979-A3C1-4BAA-B083-CC9EFC3D676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Cover" sheetId="1" r:id="rId1"/>
    <sheet name="Q 1-5_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G9" i="2" s="1"/>
  <c r="H9" i="2" s="1"/>
  <c r="I9" i="2" s="1"/>
  <c r="F15" i="2"/>
  <c r="G15" i="2" s="1"/>
  <c r="H15" i="2" s="1"/>
  <c r="I15" i="2" s="1"/>
  <c r="F35" i="2"/>
  <c r="G35" i="2" s="1"/>
  <c r="H35" i="2" s="1"/>
  <c r="I35" i="2" s="1"/>
  <c r="E10" i="2"/>
  <c r="F5" i="2"/>
  <c r="G5" i="2" s="1"/>
  <c r="H5" i="2" s="1"/>
  <c r="I5" i="2" s="1"/>
  <c r="F4" i="2"/>
  <c r="G4" i="2" s="1"/>
  <c r="E6" i="2"/>
  <c r="E11" i="2" s="1"/>
  <c r="F2" i="2"/>
  <c r="G2" i="2" s="1"/>
  <c r="H2" i="2" s="1"/>
  <c r="I2" i="2" s="1"/>
  <c r="E19" i="2" l="1"/>
  <c r="E12" i="2"/>
  <c r="G10" i="2"/>
  <c r="F10" i="2"/>
  <c r="E14" i="2"/>
  <c r="E16" i="2" s="1"/>
  <c r="G6" i="2"/>
  <c r="G19" i="2" s="1"/>
  <c r="F6" i="2"/>
  <c r="F19" i="2" s="1"/>
  <c r="H4" i="2"/>
  <c r="H10" i="2" s="1"/>
  <c r="E17" i="2" l="1"/>
  <c r="E20" i="2"/>
  <c r="G14" i="2"/>
  <c r="G11" i="2"/>
  <c r="F7" i="2"/>
  <c r="F14" i="2"/>
  <c r="F11" i="2"/>
  <c r="G7" i="2"/>
  <c r="I4" i="2"/>
  <c r="I10" i="2" s="1"/>
  <c r="H6" i="2"/>
  <c r="H19" i="2" s="1"/>
  <c r="E24" i="2" l="1"/>
  <c r="E21" i="2"/>
  <c r="H7" i="2"/>
  <c r="H14" i="2"/>
  <c r="H11" i="2"/>
  <c r="F16" i="2"/>
  <c r="F12" i="2"/>
  <c r="G16" i="2"/>
  <c r="G12" i="2"/>
  <c r="I6" i="2"/>
  <c r="I19" i="2" s="1"/>
  <c r="F17" i="2" l="1"/>
  <c r="F20" i="2"/>
  <c r="E26" i="2"/>
  <c r="E27" i="2" s="1"/>
  <c r="E28" i="2" s="1"/>
  <c r="G17" i="2"/>
  <c r="G20" i="2"/>
  <c r="H16" i="2"/>
  <c r="H12" i="2"/>
  <c r="I7" i="2"/>
  <c r="I11" i="2"/>
  <c r="I14" i="2"/>
  <c r="G24" i="2" l="1"/>
  <c r="G21" i="2"/>
  <c r="H17" i="2"/>
  <c r="H20" i="2"/>
  <c r="F24" i="2"/>
  <c r="F21" i="2"/>
  <c r="I16" i="2"/>
  <c r="I12" i="2"/>
  <c r="I17" i="2" l="1"/>
  <c r="I20" i="2"/>
  <c r="G26" i="2"/>
  <c r="G27" i="2" s="1"/>
  <c r="G28" i="2" s="1"/>
  <c r="F26" i="2"/>
  <c r="F27" i="2" s="1"/>
  <c r="F28" i="2" s="1"/>
  <c r="H21" i="2"/>
  <c r="H24" i="2"/>
  <c r="H26" i="2" l="1"/>
  <c r="H27" i="2" s="1"/>
  <c r="H28" i="2" s="1"/>
  <c r="I21" i="2"/>
  <c r="I24" i="2"/>
  <c r="I26" i="2" l="1"/>
  <c r="I27" i="2" s="1"/>
  <c r="I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Lai</author>
  </authors>
  <commentList>
    <comment ref="B16" authorId="0" shapeId="0" xr:uid="{691D09E0-89A2-4BDD-B02F-4A4859AA9721}">
      <text>
        <r>
          <rPr>
            <b/>
            <sz val="9"/>
            <color indexed="81"/>
            <rFont val="Tahoma"/>
            <family val="2"/>
          </rPr>
          <t xml:space="preserve">Wall Street Prep:
</t>
        </r>
        <r>
          <rPr>
            <sz val="9"/>
            <color indexed="81"/>
            <rFont val="Tahoma"/>
            <family val="2"/>
          </rPr>
          <t xml:space="preserve">
EBITDA = Earnings before Interest, Taxes, Depreciation, and Amortization
</t>
        </r>
      </text>
    </comment>
    <comment ref="B20" authorId="0" shapeId="0" xr:uid="{F427D67E-AE76-434B-92AA-DCD2AFF773DA}">
      <text>
        <r>
          <rPr>
            <b/>
            <sz val="9"/>
            <color indexed="81"/>
            <rFont val="Tahoma"/>
            <family val="2"/>
          </rPr>
          <t xml:space="preserve">Wall Street Prep:
</t>
        </r>
        <r>
          <rPr>
            <sz val="9"/>
            <color indexed="81"/>
            <rFont val="Tahoma"/>
            <family val="2"/>
          </rPr>
          <t xml:space="preserve">
EBIT = Earnings before Interest and Taxes
</t>
        </r>
      </text>
    </comment>
  </commentList>
</comments>
</file>

<file path=xl/sharedStrings.xml><?xml version="1.0" encoding="utf-8"?>
<sst xmlns="http://schemas.openxmlformats.org/spreadsheetml/2006/main" count="34" uniqueCount="30">
  <si>
    <t>Units Sold</t>
  </si>
  <si>
    <t>Price per Unit</t>
  </si>
  <si>
    <t>Revenue</t>
  </si>
  <si>
    <t>Cost per Unit</t>
  </si>
  <si>
    <t>Cost of Goods Sold</t>
  </si>
  <si>
    <t>Gross Profit</t>
  </si>
  <si>
    <t>Gross Profit % of Revenue</t>
  </si>
  <si>
    <t>Selling Expenses</t>
  </si>
  <si>
    <t>General &amp; Administrative Expenses</t>
  </si>
  <si>
    <t>Depreciation &amp; Amortization</t>
  </si>
  <si>
    <t>Interest Expense</t>
  </si>
  <si>
    <t>Income Taxes</t>
  </si>
  <si>
    <t>Net Income</t>
  </si>
  <si>
    <t>EBITDA</t>
  </si>
  <si>
    <t>EBIT</t>
  </si>
  <si>
    <t>Selling Expenses % of Revenue</t>
  </si>
  <si>
    <t>Cost per Unit Growth Rate %</t>
  </si>
  <si>
    <t>Price per Unit Growth Rate %</t>
  </si>
  <si>
    <t>Units Sold Growth Rate %</t>
  </si>
  <si>
    <t>G&amp;A Expenses Growth Rate %</t>
  </si>
  <si>
    <t>Pre-Tax Earnings</t>
  </si>
  <si>
    <t>Effective Tax Rate %</t>
  </si>
  <si>
    <t>EBITDA % of Revenue</t>
  </si>
  <si>
    <t>EBIT % of Revenue</t>
  </si>
  <si>
    <t>Net Income % of Revenue</t>
  </si>
  <si>
    <t>Revenue Growth Rate %</t>
  </si>
  <si>
    <t>Depreciation &amp; Amoritzation % of Revenue</t>
  </si>
  <si>
    <t>Income Statement Assumptions</t>
  </si>
  <si>
    <t xml:space="preserve">n/a  </t>
  </si>
  <si>
    <t>Excel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</si>
</sst>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Year &quot;0"/>
    <numFmt numFmtId="165" formatCode="_(* #,##0_);_(* \(#,##0\);_(* &quot;-&quot;??_);_(@_)"/>
    <numFmt numFmtId="166" formatCode="0.0%_);\(0.0%\);\-\ "/>
    <numFmt numFmtId="167" formatCode="_([$$-409]* #,##0.00_);_([$$-409]* \(#,##0.00\);_([$$-409]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48"/>
      <color theme="1"/>
      <name val="Cambria"/>
      <family val="1"/>
    </font>
    <font>
      <b/>
      <sz val="24"/>
      <color rgb="FF288E82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mbria"/>
      <family val="1"/>
    </font>
    <font>
      <i/>
      <sz val="11"/>
      <color theme="1"/>
      <name val="Cambria"/>
      <family val="1"/>
    </font>
    <font>
      <sz val="11"/>
      <color rgb="FF0000FF"/>
      <name val="Cambria"/>
      <family val="1"/>
    </font>
    <font>
      <sz val="11"/>
      <color theme="1" tint="0.499984740745262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8" fillId="0" borderId="0" xfId="0" applyFont="1"/>
    <xf numFmtId="0" fontId="9" fillId="0" borderId="0" xfId="0" applyFont="1"/>
    <xf numFmtId="165" fontId="10" fillId="0" borderId="0" xfId="1" applyNumberFormat="1" applyFont="1"/>
    <xf numFmtId="0" fontId="10" fillId="0" borderId="0" xfId="0" quotePrefix="1" applyFont="1" applyAlignment="1">
      <alignment horizontal="right"/>
    </xf>
    <xf numFmtId="167" fontId="10" fillId="0" borderId="0" xfId="1" applyNumberFormat="1" applyFont="1"/>
    <xf numFmtId="165" fontId="2" fillId="2" borderId="0" xfId="1" applyNumberFormat="1" applyFont="1" applyFill="1"/>
    <xf numFmtId="167" fontId="2" fillId="2" borderId="0" xfId="1" applyNumberFormat="1" applyFont="1" applyFill="1"/>
    <xf numFmtId="165" fontId="3" fillId="2" borderId="0" xfId="1" applyNumberFormat="1" applyFont="1" applyFill="1"/>
    <xf numFmtId="166" fontId="9" fillId="2" borderId="0" xfId="0" applyNumberFormat="1" applyFont="1" applyFill="1"/>
    <xf numFmtId="165" fontId="3" fillId="2" borderId="0" xfId="0" applyNumberFormat="1" applyFont="1" applyFill="1"/>
    <xf numFmtId="166" fontId="9" fillId="2" borderId="0" xfId="0" applyNumberFormat="1" applyFont="1" applyFill="1" applyAlignment="1">
      <alignment horizontal="right"/>
    </xf>
    <xf numFmtId="165" fontId="2" fillId="2" borderId="0" xfId="0" applyNumberFormat="1" applyFont="1" applyFill="1"/>
    <xf numFmtId="0" fontId="9" fillId="0" borderId="0" xfId="0" applyFont="1" applyAlignment="1">
      <alignment horizontal="left" indent="1"/>
    </xf>
    <xf numFmtId="0" fontId="11" fillId="0" borderId="0" xfId="0" applyFont="1"/>
    <xf numFmtId="0" fontId="11" fillId="0" borderId="0" xfId="0" quotePrefix="1" applyFont="1"/>
    <xf numFmtId="164" fontId="3" fillId="0" borderId="1" xfId="0" applyNumberFormat="1" applyFont="1" applyBorder="1" applyAlignment="1">
      <alignment horizontal="center"/>
    </xf>
    <xf numFmtId="166" fontId="10" fillId="0" borderId="0" xfId="0" applyNumberFormat="1" applyFont="1"/>
    <xf numFmtId="166" fontId="9" fillId="0" borderId="0" xfId="0" quotePrefix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35BDAD"/>
      <color rgb="FF49C0F5"/>
      <color rgb="FF8CFCA7"/>
      <color rgb="FF288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7:B9"/>
  <sheetViews>
    <sheetView showGridLines="0" workbookViewId="0">
      <selection activeCell="B9" sqref="B9"/>
    </sheetView>
  </sheetViews>
  <sheetFormatPr defaultRowHeight="14.25" x14ac:dyDescent="0.45"/>
  <cols>
    <col min="1" max="1" width="1.59765625" customWidth="1"/>
  </cols>
  <sheetData>
    <row r="7" spans="2:2" ht="58.9" x14ac:dyDescent="1.45">
      <c r="B7" s="3" t="s">
        <v>29</v>
      </c>
    </row>
    <row r="9" spans="2:2" ht="29.65" x14ac:dyDescent="0.75"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7B51-A424-4242-8A51-3DAE8A8BD14C}">
  <sheetPr>
    <tabColor rgb="FFC00000"/>
  </sheetPr>
  <dimension ref="B2:K39"/>
  <sheetViews>
    <sheetView showGridLines="0" tabSelected="1" workbookViewId="0">
      <selection activeCell="G14" sqref="G14"/>
    </sheetView>
  </sheetViews>
  <sheetFormatPr defaultColWidth="12.59765625" defaultRowHeight="13.5" x14ac:dyDescent="0.35"/>
  <cols>
    <col min="1" max="1" width="1.59765625" style="1" customWidth="1"/>
    <col min="2" max="9" width="12.59765625" style="1"/>
    <col min="10" max="10" width="1.59765625" style="1" customWidth="1"/>
    <col min="11" max="11" width="50.59765625" style="19" customWidth="1"/>
    <col min="12" max="16384" width="12.59765625" style="1"/>
  </cols>
  <sheetData>
    <row r="2" spans="2:11" ht="13.9" thickBot="1" x14ac:dyDescent="0.4">
      <c r="E2" s="21">
        <v>1</v>
      </c>
      <c r="F2" s="21">
        <f>E2+1</f>
        <v>2</v>
      </c>
      <c r="G2" s="21">
        <f t="shared" ref="G2:I2" si="0">F2+1</f>
        <v>3</v>
      </c>
      <c r="H2" s="21">
        <f t="shared" si="0"/>
        <v>4</v>
      </c>
      <c r="I2" s="21">
        <f t="shared" si="0"/>
        <v>5</v>
      </c>
    </row>
    <row r="4" spans="2:11" x14ac:dyDescent="0.35">
      <c r="B4" s="1" t="s">
        <v>0</v>
      </c>
      <c r="E4" s="8">
        <v>5000</v>
      </c>
      <c r="F4" s="11">
        <f t="shared" ref="F4:I5" si="1">E4*(1+F32)</f>
        <v>5250</v>
      </c>
      <c r="G4" s="11">
        <f t="shared" si="1"/>
        <v>5512.5</v>
      </c>
      <c r="H4" s="11">
        <f t="shared" si="1"/>
        <v>5788.125</v>
      </c>
      <c r="I4" s="11">
        <f t="shared" si="1"/>
        <v>6077.53125</v>
      </c>
      <c r="K4" s="20"/>
    </row>
    <row r="5" spans="2:11" x14ac:dyDescent="0.35">
      <c r="B5" s="1" t="s">
        <v>1</v>
      </c>
      <c r="E5" s="10">
        <v>24.99</v>
      </c>
      <c r="F5" s="12">
        <f t="shared" si="1"/>
        <v>25.364849999999997</v>
      </c>
      <c r="G5" s="12">
        <f t="shared" si="1"/>
        <v>25.745322749999996</v>
      </c>
      <c r="H5" s="12">
        <f t="shared" si="1"/>
        <v>26.131502591249994</v>
      </c>
      <c r="I5" s="12">
        <f t="shared" si="1"/>
        <v>26.52347513011874</v>
      </c>
      <c r="K5" s="20"/>
    </row>
    <row r="6" spans="2:11" x14ac:dyDescent="0.35">
      <c r="B6" s="2" t="s">
        <v>2</v>
      </c>
      <c r="E6" s="13">
        <f>E4*E5</f>
        <v>124949.99999999999</v>
      </c>
      <c r="F6" s="13">
        <f t="shared" ref="F6:I6" si="2">F4*F5</f>
        <v>133165.46249999999</v>
      </c>
      <c r="G6" s="13">
        <f t="shared" si="2"/>
        <v>141921.09165937497</v>
      </c>
      <c r="H6" s="13">
        <f t="shared" si="2"/>
        <v>151252.40343597886</v>
      </c>
      <c r="I6" s="13">
        <f t="shared" si="2"/>
        <v>161197.24896189445</v>
      </c>
      <c r="K6" s="20"/>
    </row>
    <row r="7" spans="2:11" s="7" customFormat="1" x14ac:dyDescent="0.35">
      <c r="B7" s="18" t="s">
        <v>25</v>
      </c>
      <c r="E7" s="23" t="s">
        <v>28</v>
      </c>
      <c r="F7" s="14">
        <f>F6/E6-1</f>
        <v>6.5749999999999975E-2</v>
      </c>
      <c r="G7" s="14">
        <f t="shared" ref="G7:I7" si="3">G6/F6-1</f>
        <v>6.5749999999999753E-2</v>
      </c>
      <c r="H7" s="14">
        <f t="shared" si="3"/>
        <v>6.5749999999999975E-2</v>
      </c>
      <c r="I7" s="14">
        <f t="shared" si="3"/>
        <v>6.5749999999999753E-2</v>
      </c>
      <c r="K7" s="20"/>
    </row>
    <row r="9" spans="2:11" x14ac:dyDescent="0.35">
      <c r="B9" s="1" t="s">
        <v>3</v>
      </c>
      <c r="E9" s="10">
        <v>10</v>
      </c>
      <c r="F9" s="12">
        <f>E9*(1+F34)</f>
        <v>10.199999999999999</v>
      </c>
      <c r="G9" s="12">
        <f>F9*(1+G34)</f>
        <v>10.404</v>
      </c>
      <c r="H9" s="12">
        <f>G9*(1+H34)</f>
        <v>10.612080000000001</v>
      </c>
      <c r="I9" s="12">
        <f>H9*(1+I34)</f>
        <v>10.824321600000001</v>
      </c>
      <c r="K9" s="20"/>
    </row>
    <row r="10" spans="2:11" x14ac:dyDescent="0.35">
      <c r="B10" s="1" t="s">
        <v>4</v>
      </c>
      <c r="E10" s="11">
        <f>-E4*E9</f>
        <v>-50000</v>
      </c>
      <c r="F10" s="11">
        <f t="shared" ref="F10:I10" si="4">-F4*F9</f>
        <v>-53549.999999999993</v>
      </c>
      <c r="G10" s="11">
        <f t="shared" si="4"/>
        <v>-57352.05</v>
      </c>
      <c r="H10" s="11">
        <f t="shared" si="4"/>
        <v>-61424.045550000003</v>
      </c>
      <c r="I10" s="11">
        <f t="shared" si="4"/>
        <v>-65785.152784050006</v>
      </c>
      <c r="K10" s="20"/>
    </row>
    <row r="11" spans="2:11" x14ac:dyDescent="0.35">
      <c r="B11" s="2" t="s">
        <v>5</v>
      </c>
      <c r="E11" s="15">
        <f>E6+E10</f>
        <v>74949.999999999985</v>
      </c>
      <c r="F11" s="15">
        <f t="shared" ref="F11:I11" si="5">F6+F10</f>
        <v>79615.462499999994</v>
      </c>
      <c r="G11" s="15">
        <f t="shared" si="5"/>
        <v>84569.041659374969</v>
      </c>
      <c r="H11" s="15">
        <f t="shared" si="5"/>
        <v>89828.357885978854</v>
      </c>
      <c r="I11" s="15">
        <f t="shared" si="5"/>
        <v>95412.096177844447</v>
      </c>
      <c r="K11" s="20"/>
    </row>
    <row r="12" spans="2:11" s="7" customFormat="1" x14ac:dyDescent="0.35">
      <c r="B12" s="18" t="s">
        <v>6</v>
      </c>
      <c r="E12" s="16">
        <f>E11/E$6</f>
        <v>0.59983993597438967</v>
      </c>
      <c r="F12" s="16">
        <f t="shared" ref="F12:I12" si="6">F11/F$6</f>
        <v>0.59786870413189908</v>
      </c>
      <c r="G12" s="16">
        <f t="shared" si="6"/>
        <v>0.59588776178772118</v>
      </c>
      <c r="H12" s="16">
        <f t="shared" si="6"/>
        <v>0.59389706110687235</v>
      </c>
      <c r="I12" s="16">
        <f t="shared" si="6"/>
        <v>0.59189655401872887</v>
      </c>
      <c r="K12" s="20"/>
    </row>
    <row r="14" spans="2:11" x14ac:dyDescent="0.35">
      <c r="B14" s="1" t="s">
        <v>7</v>
      </c>
      <c r="E14" s="11">
        <f>-E6*E35</f>
        <v>-18992.399999999998</v>
      </c>
      <c r="F14" s="11">
        <f>-F6*F35</f>
        <v>-20507.481225</v>
      </c>
      <c r="G14" s="11">
        <f>-G6*G35</f>
        <v>-22139.690298862497</v>
      </c>
      <c r="H14" s="11">
        <f>-H6*H35</f>
        <v>-23897.879742884659</v>
      </c>
      <c r="I14" s="11">
        <f>-I6*I35</f>
        <v>-25791.559833903113</v>
      </c>
      <c r="K14" s="20"/>
    </row>
    <row r="15" spans="2:11" x14ac:dyDescent="0.35">
      <c r="B15" s="1" t="s">
        <v>8</v>
      </c>
      <c r="E15" s="8">
        <v>-7500</v>
      </c>
      <c r="F15" s="17">
        <f>E15*(1+F36)</f>
        <v>-7650</v>
      </c>
      <c r="G15" s="17">
        <f>F15*(1+G36)</f>
        <v>-7803</v>
      </c>
      <c r="H15" s="17">
        <f>G15*(1+H36)</f>
        <v>-7959.06</v>
      </c>
      <c r="I15" s="17">
        <f>H15*(1+I36)</f>
        <v>-8118.2412000000004</v>
      </c>
      <c r="K15" s="20"/>
    </row>
    <row r="16" spans="2:11" x14ac:dyDescent="0.35">
      <c r="B16" s="2" t="s">
        <v>13</v>
      </c>
      <c r="E16" s="15">
        <f>E11+E14+E15</f>
        <v>48457.599999999991</v>
      </c>
      <c r="F16" s="15">
        <f t="shared" ref="F16:I16" si="7">F11+F14+F15</f>
        <v>51457.981274999998</v>
      </c>
      <c r="G16" s="15">
        <f t="shared" si="7"/>
        <v>54626.351360512475</v>
      </c>
      <c r="H16" s="15">
        <f t="shared" si="7"/>
        <v>57971.418143094197</v>
      </c>
      <c r="I16" s="15">
        <f t="shared" si="7"/>
        <v>61502.29514394133</v>
      </c>
      <c r="K16" s="20"/>
    </row>
    <row r="17" spans="2:11" s="7" customFormat="1" x14ac:dyDescent="0.35">
      <c r="B17" s="18" t="s">
        <v>22</v>
      </c>
      <c r="E17" s="16">
        <f>E16/E$6</f>
        <v>0.38781592637054818</v>
      </c>
      <c r="F17" s="16">
        <f t="shared" ref="F17" si="8">F16/F$6</f>
        <v>0.38642137615074179</v>
      </c>
      <c r="G17" s="16">
        <f t="shared" ref="G17" si="9">G16/G$6</f>
        <v>0.38490650488809136</v>
      </c>
      <c r="H17" s="16">
        <f t="shared" ref="H17" si="10">H16/H$6</f>
        <v>0.38327601298337027</v>
      </c>
      <c r="I17" s="16">
        <f t="shared" ref="I17" si="11">I16/I$6</f>
        <v>0.38153439677174583</v>
      </c>
      <c r="K17" s="20"/>
    </row>
    <row r="19" spans="2:11" x14ac:dyDescent="0.35">
      <c r="B19" s="1" t="s">
        <v>9</v>
      </c>
      <c r="E19" s="11">
        <f>-E6*E37</f>
        <v>-4373.25</v>
      </c>
      <c r="F19" s="11">
        <f>-F6*F37</f>
        <v>-4660.7911875</v>
      </c>
      <c r="G19" s="11">
        <f>-G6*G37</f>
        <v>-4967.2382080781244</v>
      </c>
      <c r="H19" s="11">
        <f>-H6*H37</f>
        <v>-5293.834120259261</v>
      </c>
      <c r="I19" s="11">
        <f>-I6*I37</f>
        <v>-5641.9037136663064</v>
      </c>
      <c r="K19" s="20"/>
    </row>
    <row r="20" spans="2:11" x14ac:dyDescent="0.35">
      <c r="B20" s="2" t="s">
        <v>14</v>
      </c>
      <c r="E20" s="15">
        <f>E16+E19</f>
        <v>44084.349999999991</v>
      </c>
      <c r="F20" s="15">
        <f t="shared" ref="F20:I20" si="12">F16+F19</f>
        <v>46797.190087499999</v>
      </c>
      <c r="G20" s="15">
        <f t="shared" si="12"/>
        <v>49659.113152434351</v>
      </c>
      <c r="H20" s="15">
        <f t="shared" si="12"/>
        <v>52677.584022834933</v>
      </c>
      <c r="I20" s="15">
        <f t="shared" si="12"/>
        <v>55860.39143027502</v>
      </c>
      <c r="K20" s="20"/>
    </row>
    <row r="21" spans="2:11" s="7" customFormat="1" x14ac:dyDescent="0.35">
      <c r="B21" s="18" t="s">
        <v>23</v>
      </c>
      <c r="E21" s="16">
        <f>E20/E$6</f>
        <v>0.35281592637054821</v>
      </c>
      <c r="F21" s="16">
        <f t="shared" ref="F21" si="13">F20/F$6</f>
        <v>0.35142137615074182</v>
      </c>
      <c r="G21" s="16">
        <f t="shared" ref="G21" si="14">G20/G$6</f>
        <v>0.34990650488809139</v>
      </c>
      <c r="H21" s="16">
        <f t="shared" ref="H21" si="15">H20/H$6</f>
        <v>0.3482760129833703</v>
      </c>
      <c r="I21" s="16">
        <f t="shared" ref="I21" si="16">I20/I$6</f>
        <v>0.3465343967717458</v>
      </c>
      <c r="K21" s="20"/>
    </row>
    <row r="23" spans="2:11" x14ac:dyDescent="0.35">
      <c r="B23" s="1" t="s">
        <v>10</v>
      </c>
      <c r="E23" s="8">
        <v>-1500</v>
      </c>
      <c r="F23" s="8">
        <v>-1500</v>
      </c>
      <c r="G23" s="8">
        <v>-1500</v>
      </c>
      <c r="H23" s="8">
        <v>-1500</v>
      </c>
      <c r="I23" s="8">
        <v>-1500</v>
      </c>
    </row>
    <row r="24" spans="2:11" x14ac:dyDescent="0.35">
      <c r="B24" s="2" t="s">
        <v>20</v>
      </c>
      <c r="E24" s="15">
        <f>E20+E23</f>
        <v>42584.349999999991</v>
      </c>
      <c r="F24" s="15">
        <f t="shared" ref="F24:I24" si="17">F20+F23</f>
        <v>45297.190087499999</v>
      </c>
      <c r="G24" s="15">
        <f t="shared" si="17"/>
        <v>48159.113152434351</v>
      </c>
      <c r="H24" s="15">
        <f t="shared" si="17"/>
        <v>51177.584022834933</v>
      </c>
      <c r="I24" s="15">
        <f t="shared" si="17"/>
        <v>54360.39143027502</v>
      </c>
      <c r="K24" s="20"/>
    </row>
    <row r="26" spans="2:11" x14ac:dyDescent="0.35">
      <c r="B26" s="1" t="s">
        <v>11</v>
      </c>
      <c r="E26" s="11">
        <f>-E24*E38</f>
        <v>-10646.087499999998</v>
      </c>
      <c r="F26" s="11">
        <f>-F24*F38</f>
        <v>-11324.297521875</v>
      </c>
      <c r="G26" s="11">
        <f>-G24*G38</f>
        <v>-12039.778288108588</v>
      </c>
      <c r="H26" s="11">
        <f>-H24*H38</f>
        <v>-12794.396005708733</v>
      </c>
      <c r="I26" s="11">
        <f>-I24*I38</f>
        <v>-13590.097857568755</v>
      </c>
      <c r="K26" s="20"/>
    </row>
    <row r="27" spans="2:11" x14ac:dyDescent="0.35">
      <c r="B27" s="2" t="s">
        <v>12</v>
      </c>
      <c r="E27" s="15">
        <f>E24+E26</f>
        <v>31938.262499999993</v>
      </c>
      <c r="F27" s="15">
        <f t="shared" ref="F27:I27" si="18">F24+F26</f>
        <v>33972.892565624999</v>
      </c>
      <c r="G27" s="15">
        <f t="shared" si="18"/>
        <v>36119.334864325763</v>
      </c>
      <c r="H27" s="15">
        <f t="shared" si="18"/>
        <v>38383.188017126202</v>
      </c>
      <c r="I27" s="15">
        <f t="shared" si="18"/>
        <v>40770.293572706265</v>
      </c>
      <c r="K27" s="20"/>
    </row>
    <row r="28" spans="2:11" s="7" customFormat="1" x14ac:dyDescent="0.35">
      <c r="B28" s="18" t="s">
        <v>24</v>
      </c>
      <c r="E28" s="16">
        <f>E27/E$6</f>
        <v>0.2556083433373349</v>
      </c>
      <c r="F28" s="16">
        <f t="shared" ref="F28" si="19">F27/F$6</f>
        <v>0.25511789564523912</v>
      </c>
      <c r="G28" s="16">
        <f t="shared" ref="G28" si="20">G27/G$6</f>
        <v>0.25450293851329608</v>
      </c>
      <c r="H28" s="16">
        <f t="shared" ref="H28" si="21">H27/H$6</f>
        <v>0.25376911140042008</v>
      </c>
      <c r="I28" s="16">
        <f t="shared" ref="I28" si="22">I27/I$6</f>
        <v>0.25292177028619134</v>
      </c>
      <c r="K28" s="20"/>
    </row>
    <row r="31" spans="2:11" x14ac:dyDescent="0.35">
      <c r="B31" s="6" t="s">
        <v>27</v>
      </c>
    </row>
    <row r="32" spans="2:11" x14ac:dyDescent="0.35">
      <c r="B32" s="1" t="s">
        <v>18</v>
      </c>
      <c r="E32" s="9" t="s">
        <v>28</v>
      </c>
      <c r="F32" s="22">
        <v>0.05</v>
      </c>
      <c r="G32" s="22">
        <v>0.05</v>
      </c>
      <c r="H32" s="22">
        <v>0.05</v>
      </c>
      <c r="I32" s="22">
        <v>0.05</v>
      </c>
    </row>
    <row r="33" spans="2:9" x14ac:dyDescent="0.35">
      <c r="B33" s="1" t="s">
        <v>17</v>
      </c>
      <c r="E33" s="9" t="s">
        <v>28</v>
      </c>
      <c r="F33" s="22">
        <v>1.4999999999999999E-2</v>
      </c>
      <c r="G33" s="22">
        <v>1.4999999999999999E-2</v>
      </c>
      <c r="H33" s="22">
        <v>1.4999999999999999E-2</v>
      </c>
      <c r="I33" s="22">
        <v>1.4999999999999999E-2</v>
      </c>
    </row>
    <row r="34" spans="2:9" x14ac:dyDescent="0.35">
      <c r="B34" s="1" t="s">
        <v>16</v>
      </c>
      <c r="E34" s="9" t="s">
        <v>28</v>
      </c>
      <c r="F34" s="22">
        <v>0.02</v>
      </c>
      <c r="G34" s="22">
        <v>0.02</v>
      </c>
      <c r="H34" s="22">
        <v>0.02</v>
      </c>
      <c r="I34" s="22">
        <v>0.02</v>
      </c>
    </row>
    <row r="35" spans="2:9" x14ac:dyDescent="0.35">
      <c r="B35" s="1" t="s">
        <v>15</v>
      </c>
      <c r="E35" s="22">
        <v>0.152</v>
      </c>
      <c r="F35" s="22">
        <f>E35+0.002</f>
        <v>0.154</v>
      </c>
      <c r="G35" s="22">
        <f t="shared" ref="G35:I35" si="23">F35+0.002</f>
        <v>0.156</v>
      </c>
      <c r="H35" s="22">
        <f t="shared" si="23"/>
        <v>0.158</v>
      </c>
      <c r="I35" s="22">
        <f t="shared" si="23"/>
        <v>0.16</v>
      </c>
    </row>
    <row r="36" spans="2:9" x14ac:dyDescent="0.35">
      <c r="B36" s="1" t="s">
        <v>19</v>
      </c>
      <c r="E36" s="9" t="s">
        <v>28</v>
      </c>
      <c r="F36" s="22">
        <v>0.02</v>
      </c>
      <c r="G36" s="22">
        <v>0.02</v>
      </c>
      <c r="H36" s="22">
        <v>0.02</v>
      </c>
      <c r="I36" s="22">
        <v>0.02</v>
      </c>
    </row>
    <row r="37" spans="2:9" x14ac:dyDescent="0.35">
      <c r="B37" s="1" t="s">
        <v>26</v>
      </c>
      <c r="E37" s="22">
        <v>3.5000000000000003E-2</v>
      </c>
      <c r="F37" s="22">
        <v>3.5000000000000003E-2</v>
      </c>
      <c r="G37" s="22">
        <v>3.5000000000000003E-2</v>
      </c>
      <c r="H37" s="22">
        <v>3.5000000000000003E-2</v>
      </c>
      <c r="I37" s="22">
        <v>3.5000000000000003E-2</v>
      </c>
    </row>
    <row r="38" spans="2:9" x14ac:dyDescent="0.35">
      <c r="B38" s="1" t="s">
        <v>21</v>
      </c>
      <c r="E38" s="22">
        <v>0.25</v>
      </c>
      <c r="F38" s="22">
        <v>0.25</v>
      </c>
      <c r="G38" s="22">
        <v>0.25</v>
      </c>
      <c r="H38" s="22">
        <v>0.25</v>
      </c>
      <c r="I38" s="22">
        <v>0.25</v>
      </c>
    </row>
    <row r="39" spans="2:9" ht="13.9" thickBot="1" x14ac:dyDescent="0.4">
      <c r="B39" s="5"/>
      <c r="C39" s="5"/>
      <c r="D39" s="5"/>
      <c r="E39" s="5"/>
      <c r="F39" s="5"/>
      <c r="G39" s="5"/>
      <c r="H39" s="5"/>
      <c r="I39" s="5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900781-07FD-4BED-AFF2-2E3633C257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Q 1-5_Ans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Lai</dc:creator>
  <cp:lastModifiedBy>Aarsh Modi</cp:lastModifiedBy>
  <dcterms:created xsi:type="dcterms:W3CDTF">2015-06-05T18:17:20Z</dcterms:created>
  <dcterms:modified xsi:type="dcterms:W3CDTF">2026-09-29T20:00:33Z</dcterms:modified>
</cp:coreProperties>
</file>