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rsh\Downloads\"/>
    </mc:Choice>
  </mc:AlternateContent>
  <xr:revisionPtr revIDLastSave="0" documentId="8_{FB156708-3F6C-4BB4-9234-C67E531E62D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Cover" sheetId="1" r:id="rId1"/>
    <sheet name="Q 1-5_Ans" sheetId="2" r:id="rId2"/>
    <sheet name="Q 38-40_Ans" sheetId="11" r:id="rId3"/>
  </sheets>
  <definedNames>
    <definedName name="_xlnm._FilterDatabase" localSheetId="2" hidden="1">'Q 38-40_Ans'!$B$4:$H$576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0" i="11" l="1"/>
  <c r="D580" i="11"/>
  <c r="H579" i="11"/>
  <c r="G579" i="11"/>
  <c r="F579" i="11"/>
  <c r="D579" i="11"/>
  <c r="E579" i="11" s="1"/>
  <c r="H578" i="11"/>
  <c r="F578" i="11"/>
  <c r="D578" i="11"/>
  <c r="E578" i="11" s="1"/>
  <c r="H577" i="11"/>
  <c r="F577" i="11"/>
  <c r="E577" i="11"/>
  <c r="D577" i="11"/>
  <c r="G577" i="11" s="1"/>
  <c r="H576" i="11"/>
  <c r="G576" i="11"/>
  <c r="F576" i="11"/>
  <c r="E576" i="11"/>
  <c r="D576" i="11"/>
  <c r="H575" i="11"/>
  <c r="G575" i="11"/>
  <c r="E575" i="11"/>
  <c r="D575" i="11"/>
  <c r="F575" i="11" s="1"/>
  <c r="H574" i="11"/>
  <c r="D574" i="11"/>
  <c r="H573" i="11"/>
  <c r="G573" i="11"/>
  <c r="E573" i="11"/>
  <c r="D573" i="11"/>
  <c r="F573" i="11" s="1"/>
  <c r="H572" i="11"/>
  <c r="D572" i="11"/>
  <c r="H571" i="11"/>
  <c r="G571" i="11"/>
  <c r="F571" i="11"/>
  <c r="D571" i="11"/>
  <c r="E571" i="11" s="1"/>
  <c r="H570" i="11"/>
  <c r="F570" i="11"/>
  <c r="D570" i="11"/>
  <c r="E570" i="11" s="1"/>
  <c r="H569" i="11"/>
  <c r="F569" i="11"/>
  <c r="E569" i="11"/>
  <c r="D569" i="11"/>
  <c r="G569" i="11" s="1"/>
  <c r="H568" i="11"/>
  <c r="G568" i="11"/>
  <c r="F568" i="11"/>
  <c r="E568" i="11"/>
  <c r="D568" i="11"/>
  <c r="H567" i="11"/>
  <c r="G567" i="11"/>
  <c r="E567" i="11"/>
  <c r="D567" i="11"/>
  <c r="F567" i="11" s="1"/>
  <c r="H566" i="11"/>
  <c r="D566" i="11"/>
  <c r="H565" i="11"/>
  <c r="G565" i="11"/>
  <c r="E565" i="11"/>
  <c r="D565" i="11"/>
  <c r="F565" i="11" s="1"/>
  <c r="H564" i="11"/>
  <c r="D564" i="11"/>
  <c r="H563" i="11"/>
  <c r="G563" i="11"/>
  <c r="F563" i="11"/>
  <c r="D563" i="11"/>
  <c r="E563" i="11" s="1"/>
  <c r="H562" i="11"/>
  <c r="F562" i="11"/>
  <c r="D562" i="11"/>
  <c r="E562" i="11" s="1"/>
  <c r="H561" i="11"/>
  <c r="F561" i="11"/>
  <c r="E561" i="11"/>
  <c r="D561" i="11"/>
  <c r="G561" i="11" s="1"/>
  <c r="H560" i="11"/>
  <c r="G560" i="11"/>
  <c r="F560" i="11"/>
  <c r="E560" i="11"/>
  <c r="D560" i="11"/>
  <c r="H559" i="11"/>
  <c r="G559" i="11"/>
  <c r="E559" i="11"/>
  <c r="D559" i="11"/>
  <c r="F559" i="11" s="1"/>
  <c r="H558" i="11"/>
  <c r="D558" i="11"/>
  <c r="H557" i="11"/>
  <c r="G557" i="11"/>
  <c r="E557" i="11"/>
  <c r="D557" i="11"/>
  <c r="F557" i="11" s="1"/>
  <c r="H556" i="11"/>
  <c r="D556" i="11"/>
  <c r="H555" i="11"/>
  <c r="G555" i="11"/>
  <c r="F555" i="11"/>
  <c r="D555" i="11"/>
  <c r="E555" i="11" s="1"/>
  <c r="H554" i="11"/>
  <c r="F554" i="11"/>
  <c r="D554" i="11"/>
  <c r="E554" i="11" s="1"/>
  <c r="H553" i="11"/>
  <c r="F553" i="11"/>
  <c r="E553" i="11"/>
  <c r="D553" i="11"/>
  <c r="G553" i="11" s="1"/>
  <c r="H552" i="11"/>
  <c r="G552" i="11"/>
  <c r="F552" i="11"/>
  <c r="E552" i="11"/>
  <c r="D552" i="11"/>
  <c r="H551" i="11"/>
  <c r="G551" i="11"/>
  <c r="E551" i="11"/>
  <c r="D551" i="11"/>
  <c r="F551" i="11" s="1"/>
  <c r="H550" i="11"/>
  <c r="D550" i="11"/>
  <c r="H549" i="11"/>
  <c r="G549" i="11"/>
  <c r="E549" i="11"/>
  <c r="D549" i="11"/>
  <c r="F549" i="11" s="1"/>
  <c r="H548" i="11"/>
  <c r="F548" i="11"/>
  <c r="D548" i="11"/>
  <c r="H547" i="11"/>
  <c r="G547" i="11"/>
  <c r="F547" i="11"/>
  <c r="D547" i="11"/>
  <c r="E547" i="11" s="1"/>
  <c r="H546" i="11"/>
  <c r="F546" i="11"/>
  <c r="D546" i="11"/>
  <c r="E546" i="11" s="1"/>
  <c r="H545" i="11"/>
  <c r="F545" i="11"/>
  <c r="E545" i="11"/>
  <c r="D545" i="11"/>
  <c r="G545" i="11" s="1"/>
  <c r="H544" i="11"/>
  <c r="G544" i="11"/>
  <c r="F544" i="11"/>
  <c r="E544" i="11"/>
  <c r="D544" i="11"/>
  <c r="H543" i="11"/>
  <c r="G543" i="11"/>
  <c r="E543" i="11"/>
  <c r="D543" i="11"/>
  <c r="F543" i="11" s="1"/>
  <c r="H542" i="11"/>
  <c r="D542" i="11"/>
  <c r="H541" i="11"/>
  <c r="G541" i="11"/>
  <c r="E541" i="11"/>
  <c r="D541" i="11"/>
  <c r="F541" i="11" s="1"/>
  <c r="H540" i="11"/>
  <c r="F540" i="11"/>
  <c r="D540" i="11"/>
  <c r="H539" i="11"/>
  <c r="G539" i="11"/>
  <c r="F539" i="11"/>
  <c r="D539" i="11"/>
  <c r="E539" i="11" s="1"/>
  <c r="H538" i="11"/>
  <c r="F538" i="11"/>
  <c r="D538" i="11"/>
  <c r="E538" i="11" s="1"/>
  <c r="H537" i="11"/>
  <c r="F537" i="11"/>
  <c r="E537" i="11"/>
  <c r="D537" i="11"/>
  <c r="G537" i="11" s="1"/>
  <c r="H536" i="11"/>
  <c r="G536" i="11"/>
  <c r="F536" i="11"/>
  <c r="E536" i="11"/>
  <c r="D536" i="11"/>
  <c r="H535" i="11"/>
  <c r="G535" i="11"/>
  <c r="E535" i="11"/>
  <c r="D535" i="11"/>
  <c r="F535" i="11" s="1"/>
  <c r="H534" i="11"/>
  <c r="D534" i="11"/>
  <c r="H533" i="11"/>
  <c r="G533" i="11"/>
  <c r="E533" i="11"/>
  <c r="D533" i="11"/>
  <c r="F533" i="11" s="1"/>
  <c r="H532" i="11"/>
  <c r="F532" i="11"/>
  <c r="D532" i="11"/>
  <c r="H531" i="11"/>
  <c r="G531" i="11"/>
  <c r="F531" i="11"/>
  <c r="D531" i="11"/>
  <c r="E531" i="11" s="1"/>
  <c r="H530" i="11"/>
  <c r="F530" i="11"/>
  <c r="D530" i="11"/>
  <c r="E530" i="11" s="1"/>
  <c r="H529" i="11"/>
  <c r="F529" i="11"/>
  <c r="E529" i="11"/>
  <c r="D529" i="11"/>
  <c r="G529" i="11" s="1"/>
  <c r="H528" i="11"/>
  <c r="G528" i="11"/>
  <c r="F528" i="11"/>
  <c r="E528" i="11"/>
  <c r="D528" i="11"/>
  <c r="H527" i="11"/>
  <c r="G527" i="11"/>
  <c r="E527" i="11"/>
  <c r="D527" i="11"/>
  <c r="F527" i="11" s="1"/>
  <c r="H526" i="11"/>
  <c r="D526" i="11"/>
  <c r="H525" i="11"/>
  <c r="G525" i="11"/>
  <c r="E525" i="11"/>
  <c r="D525" i="11"/>
  <c r="F525" i="11" s="1"/>
  <c r="H524" i="11"/>
  <c r="D524" i="11"/>
  <c r="H523" i="11"/>
  <c r="G523" i="11"/>
  <c r="F523" i="11"/>
  <c r="D523" i="11"/>
  <c r="E523" i="11" s="1"/>
  <c r="H522" i="11"/>
  <c r="D522" i="11"/>
  <c r="H521" i="11"/>
  <c r="F521" i="11"/>
  <c r="E521" i="11"/>
  <c r="D521" i="11"/>
  <c r="G521" i="11" s="1"/>
  <c r="H520" i="11"/>
  <c r="G520" i="11"/>
  <c r="F520" i="11"/>
  <c r="E520" i="11"/>
  <c r="D520" i="11"/>
  <c r="H519" i="11"/>
  <c r="G519" i="11"/>
  <c r="E519" i="11"/>
  <c r="D519" i="11"/>
  <c r="F519" i="11" s="1"/>
  <c r="H518" i="11"/>
  <c r="D518" i="11"/>
  <c r="H517" i="11"/>
  <c r="G517" i="11"/>
  <c r="E517" i="11"/>
  <c r="D517" i="11"/>
  <c r="F517" i="11" s="1"/>
  <c r="H516" i="11"/>
  <c r="D516" i="11"/>
  <c r="H515" i="11"/>
  <c r="G515" i="11"/>
  <c r="F515" i="11"/>
  <c r="D515" i="11"/>
  <c r="E515" i="11" s="1"/>
  <c r="H514" i="11"/>
  <c r="F514" i="11"/>
  <c r="D514" i="11"/>
  <c r="H513" i="11"/>
  <c r="F513" i="11"/>
  <c r="E513" i="11"/>
  <c r="D513" i="11"/>
  <c r="G513" i="11" s="1"/>
  <c r="H512" i="11"/>
  <c r="G512" i="11"/>
  <c r="F512" i="11"/>
  <c r="E512" i="11"/>
  <c r="D512" i="11"/>
  <c r="H511" i="11"/>
  <c r="G511" i="11"/>
  <c r="E511" i="11"/>
  <c r="D511" i="11"/>
  <c r="F511" i="11" s="1"/>
  <c r="H510" i="11"/>
  <c r="D510" i="11"/>
  <c r="H509" i="11"/>
  <c r="G509" i="11"/>
  <c r="E509" i="11"/>
  <c r="D509" i="11"/>
  <c r="F509" i="11" s="1"/>
  <c r="H508" i="11"/>
  <c r="D508" i="11"/>
  <c r="H507" i="11"/>
  <c r="G507" i="11"/>
  <c r="F507" i="11"/>
  <c r="D507" i="11"/>
  <c r="E507" i="11" s="1"/>
  <c r="H506" i="11"/>
  <c r="F506" i="11"/>
  <c r="D506" i="11"/>
  <c r="H505" i="11"/>
  <c r="F505" i="11"/>
  <c r="E505" i="11"/>
  <c r="D505" i="11"/>
  <c r="G505" i="11" s="1"/>
  <c r="H504" i="11"/>
  <c r="G504" i="11"/>
  <c r="F504" i="11"/>
  <c r="E504" i="11"/>
  <c r="D504" i="11"/>
  <c r="H503" i="11"/>
  <c r="G503" i="11"/>
  <c r="E503" i="11"/>
  <c r="D503" i="11"/>
  <c r="F503" i="11" s="1"/>
  <c r="H502" i="11"/>
  <c r="D502" i="11"/>
  <c r="H501" i="11"/>
  <c r="G501" i="11"/>
  <c r="E501" i="11"/>
  <c r="D501" i="11"/>
  <c r="F501" i="11" s="1"/>
  <c r="H500" i="11"/>
  <c r="D500" i="11"/>
  <c r="H499" i="11"/>
  <c r="G499" i="11"/>
  <c r="F499" i="11"/>
  <c r="D499" i="11"/>
  <c r="E499" i="11" s="1"/>
  <c r="H498" i="11"/>
  <c r="F498" i="11"/>
  <c r="D498" i="11"/>
  <c r="H497" i="11"/>
  <c r="F497" i="11"/>
  <c r="E497" i="11"/>
  <c r="D497" i="11"/>
  <c r="G497" i="11" s="1"/>
  <c r="H496" i="11"/>
  <c r="G496" i="11"/>
  <c r="F496" i="11"/>
  <c r="E496" i="11"/>
  <c r="D496" i="11"/>
  <c r="H495" i="11"/>
  <c r="G495" i="11"/>
  <c r="E495" i="11"/>
  <c r="D495" i="11"/>
  <c r="F495" i="11" s="1"/>
  <c r="H494" i="11"/>
  <c r="D494" i="11"/>
  <c r="H493" i="11"/>
  <c r="G493" i="11"/>
  <c r="E493" i="11"/>
  <c r="D493" i="11"/>
  <c r="F493" i="11" s="1"/>
  <c r="H492" i="11"/>
  <c r="F492" i="11"/>
  <c r="D492" i="11"/>
  <c r="H491" i="11"/>
  <c r="G491" i="11"/>
  <c r="F491" i="11"/>
  <c r="D491" i="11"/>
  <c r="E491" i="11" s="1"/>
  <c r="H490" i="11"/>
  <c r="F490" i="11"/>
  <c r="D490" i="11"/>
  <c r="H489" i="11"/>
  <c r="F489" i="11"/>
  <c r="E489" i="11"/>
  <c r="D489" i="11"/>
  <c r="G489" i="11" s="1"/>
  <c r="H488" i="11"/>
  <c r="G488" i="11"/>
  <c r="F488" i="11"/>
  <c r="E488" i="11"/>
  <c r="D488" i="11"/>
  <c r="H487" i="11"/>
  <c r="G487" i="11"/>
  <c r="E487" i="11"/>
  <c r="D487" i="11"/>
  <c r="F487" i="11" s="1"/>
  <c r="H486" i="11"/>
  <c r="D486" i="11"/>
  <c r="H485" i="11"/>
  <c r="G485" i="11"/>
  <c r="E485" i="11"/>
  <c r="D485" i="11"/>
  <c r="F485" i="11" s="1"/>
  <c r="H484" i="11"/>
  <c r="F484" i="11"/>
  <c r="D484" i="11"/>
  <c r="H483" i="11"/>
  <c r="G483" i="11"/>
  <c r="F483" i="11"/>
  <c r="D483" i="11"/>
  <c r="E483" i="11" s="1"/>
  <c r="H482" i="11"/>
  <c r="D482" i="11"/>
  <c r="H481" i="11"/>
  <c r="F481" i="11"/>
  <c r="E481" i="11"/>
  <c r="D481" i="11"/>
  <c r="G481" i="11" s="1"/>
  <c r="H480" i="11"/>
  <c r="G480" i="11"/>
  <c r="F480" i="11"/>
  <c r="E480" i="11"/>
  <c r="D480" i="11"/>
  <c r="H479" i="11"/>
  <c r="G479" i="11"/>
  <c r="E479" i="11"/>
  <c r="D479" i="11"/>
  <c r="F479" i="11" s="1"/>
  <c r="H478" i="11"/>
  <c r="D478" i="11"/>
  <c r="H477" i="11"/>
  <c r="G477" i="11"/>
  <c r="E477" i="11"/>
  <c r="D477" i="11"/>
  <c r="F477" i="11" s="1"/>
  <c r="H476" i="11"/>
  <c r="D476" i="11"/>
  <c r="H475" i="11"/>
  <c r="G475" i="11"/>
  <c r="F475" i="11"/>
  <c r="D475" i="11"/>
  <c r="E475" i="11" s="1"/>
  <c r="H474" i="11"/>
  <c r="F474" i="11"/>
  <c r="D474" i="11"/>
  <c r="H473" i="11"/>
  <c r="F473" i="11"/>
  <c r="E473" i="11"/>
  <c r="D473" i="11"/>
  <c r="G473" i="11" s="1"/>
  <c r="H472" i="11"/>
  <c r="G472" i="11"/>
  <c r="F472" i="11"/>
  <c r="E472" i="11"/>
  <c r="D472" i="11"/>
  <c r="H471" i="11"/>
  <c r="G471" i="11"/>
  <c r="E471" i="11"/>
  <c r="D471" i="11"/>
  <c r="F471" i="11" s="1"/>
  <c r="H470" i="11"/>
  <c r="G470" i="11"/>
  <c r="D470" i="11"/>
  <c r="H469" i="11"/>
  <c r="D469" i="11"/>
  <c r="H468" i="11"/>
  <c r="D468" i="11"/>
  <c r="H467" i="11"/>
  <c r="G467" i="11"/>
  <c r="F467" i="11"/>
  <c r="D467" i="11"/>
  <c r="E467" i="11" s="1"/>
  <c r="H466" i="11"/>
  <c r="F466" i="11"/>
  <c r="D466" i="11"/>
  <c r="H465" i="11"/>
  <c r="F465" i="11"/>
  <c r="E465" i="11"/>
  <c r="D465" i="11"/>
  <c r="G465" i="11" s="1"/>
  <c r="H464" i="11"/>
  <c r="G464" i="11"/>
  <c r="F464" i="11"/>
  <c r="E464" i="11"/>
  <c r="D464" i="11"/>
  <c r="H463" i="11"/>
  <c r="G463" i="11"/>
  <c r="E463" i="11"/>
  <c r="D463" i="11"/>
  <c r="F463" i="11" s="1"/>
  <c r="H462" i="11"/>
  <c r="G462" i="11"/>
  <c r="D462" i="11"/>
  <c r="H461" i="11"/>
  <c r="F461" i="11"/>
  <c r="E461" i="11"/>
  <c r="D461" i="11"/>
  <c r="G461" i="11" s="1"/>
  <c r="H460" i="11"/>
  <c r="F460" i="11"/>
  <c r="D460" i="11"/>
  <c r="H459" i="11"/>
  <c r="G459" i="11"/>
  <c r="F459" i="11"/>
  <c r="D459" i="11"/>
  <c r="E459" i="11" s="1"/>
  <c r="H458" i="11"/>
  <c r="F458" i="11"/>
  <c r="E458" i="11"/>
  <c r="D458" i="11"/>
  <c r="G458" i="11" s="1"/>
  <c r="H457" i="11"/>
  <c r="F457" i="11"/>
  <c r="E457" i="11"/>
  <c r="D457" i="11"/>
  <c r="G457" i="11" s="1"/>
  <c r="H456" i="11"/>
  <c r="G456" i="11"/>
  <c r="F456" i="11"/>
  <c r="E456" i="11"/>
  <c r="D456" i="11"/>
  <c r="H455" i="11"/>
  <c r="G455" i="11"/>
  <c r="E455" i="11"/>
  <c r="D455" i="11"/>
  <c r="F455" i="11" s="1"/>
  <c r="H454" i="11"/>
  <c r="G454" i="11"/>
  <c r="D454" i="11"/>
  <c r="H453" i="11"/>
  <c r="F453" i="11"/>
  <c r="E453" i="11"/>
  <c r="D453" i="11"/>
  <c r="G453" i="11" s="1"/>
  <c r="H452" i="11"/>
  <c r="F452" i="11"/>
  <c r="D452" i="11"/>
  <c r="H451" i="11"/>
  <c r="G451" i="11"/>
  <c r="F451" i="11"/>
  <c r="D451" i="11"/>
  <c r="E451" i="11" s="1"/>
  <c r="H450" i="11"/>
  <c r="F450" i="11"/>
  <c r="E450" i="11"/>
  <c r="D450" i="11"/>
  <c r="G450" i="11" s="1"/>
  <c r="H449" i="11"/>
  <c r="F449" i="11"/>
  <c r="E449" i="11"/>
  <c r="D449" i="11"/>
  <c r="G449" i="11" s="1"/>
  <c r="H448" i="11"/>
  <c r="G448" i="11"/>
  <c r="F448" i="11"/>
  <c r="E448" i="11"/>
  <c r="D448" i="11"/>
  <c r="H447" i="11"/>
  <c r="G447" i="11"/>
  <c r="E447" i="11"/>
  <c r="D447" i="11"/>
  <c r="F447" i="11" s="1"/>
  <c r="H446" i="11"/>
  <c r="G446" i="11"/>
  <c r="D446" i="11"/>
  <c r="H445" i="11"/>
  <c r="F445" i="11"/>
  <c r="E445" i="11"/>
  <c r="D445" i="11"/>
  <c r="G445" i="11" s="1"/>
  <c r="H444" i="11"/>
  <c r="F444" i="11"/>
  <c r="D444" i="11"/>
  <c r="H443" i="11"/>
  <c r="G443" i="11"/>
  <c r="F443" i="11"/>
  <c r="D443" i="11"/>
  <c r="E443" i="11" s="1"/>
  <c r="H442" i="11"/>
  <c r="F442" i="11"/>
  <c r="E442" i="11"/>
  <c r="D442" i="11"/>
  <c r="G442" i="11" s="1"/>
  <c r="H441" i="11"/>
  <c r="F441" i="11"/>
  <c r="E441" i="11"/>
  <c r="D441" i="11"/>
  <c r="G441" i="11" s="1"/>
  <c r="H440" i="11"/>
  <c r="G440" i="11"/>
  <c r="F440" i="11"/>
  <c r="E440" i="11"/>
  <c r="D440" i="11"/>
  <c r="H439" i="11"/>
  <c r="G439" i="11"/>
  <c r="E439" i="11"/>
  <c r="D439" i="11"/>
  <c r="F439" i="11" s="1"/>
  <c r="H438" i="11"/>
  <c r="G438" i="11"/>
  <c r="D438" i="11"/>
  <c r="H437" i="11"/>
  <c r="F437" i="11"/>
  <c r="E437" i="11"/>
  <c r="D437" i="11"/>
  <c r="G437" i="11" s="1"/>
  <c r="H436" i="11"/>
  <c r="F436" i="11"/>
  <c r="D436" i="11"/>
  <c r="H435" i="11"/>
  <c r="G435" i="11"/>
  <c r="F435" i="11"/>
  <c r="D435" i="11"/>
  <c r="E435" i="11" s="1"/>
  <c r="H434" i="11"/>
  <c r="F434" i="11"/>
  <c r="E434" i="11"/>
  <c r="D434" i="11"/>
  <c r="G434" i="11" s="1"/>
  <c r="H433" i="11"/>
  <c r="F433" i="11"/>
  <c r="E433" i="11"/>
  <c r="D433" i="11"/>
  <c r="G433" i="11" s="1"/>
  <c r="H432" i="11"/>
  <c r="G432" i="11"/>
  <c r="F432" i="11"/>
  <c r="E432" i="11"/>
  <c r="D432" i="11"/>
  <c r="H431" i="11"/>
  <c r="G431" i="11"/>
  <c r="E431" i="11"/>
  <c r="D431" i="11"/>
  <c r="F431" i="11" s="1"/>
  <c r="H430" i="11"/>
  <c r="D430" i="11"/>
  <c r="H429" i="11"/>
  <c r="F429" i="11"/>
  <c r="E429" i="11"/>
  <c r="D429" i="11"/>
  <c r="G429" i="11" s="1"/>
  <c r="H428" i="11"/>
  <c r="D428" i="11"/>
  <c r="H427" i="11"/>
  <c r="G427" i="11"/>
  <c r="F427" i="11"/>
  <c r="D427" i="11"/>
  <c r="E427" i="11" s="1"/>
  <c r="H426" i="11"/>
  <c r="F426" i="11"/>
  <c r="D426" i="11"/>
  <c r="G426" i="11" s="1"/>
  <c r="H425" i="11"/>
  <c r="F425" i="11"/>
  <c r="E425" i="11"/>
  <c r="D425" i="11"/>
  <c r="G425" i="11" s="1"/>
  <c r="H424" i="11"/>
  <c r="G424" i="11"/>
  <c r="F424" i="11"/>
  <c r="E424" i="11"/>
  <c r="D424" i="11"/>
  <c r="H423" i="11"/>
  <c r="G423" i="11"/>
  <c r="E423" i="11"/>
  <c r="D423" i="11"/>
  <c r="F423" i="11" s="1"/>
  <c r="H422" i="11"/>
  <c r="D422" i="11"/>
  <c r="H421" i="11"/>
  <c r="F421" i="11"/>
  <c r="E421" i="11"/>
  <c r="D421" i="11"/>
  <c r="G421" i="11" s="1"/>
  <c r="H420" i="11"/>
  <c r="D420" i="11"/>
  <c r="H419" i="11"/>
  <c r="G419" i="11"/>
  <c r="F419" i="11"/>
  <c r="D419" i="11"/>
  <c r="E419" i="11" s="1"/>
  <c r="H418" i="11"/>
  <c r="F418" i="11"/>
  <c r="D418" i="11"/>
  <c r="G418" i="11" s="1"/>
  <c r="H417" i="11"/>
  <c r="F417" i="11"/>
  <c r="E417" i="11"/>
  <c r="D417" i="11"/>
  <c r="G417" i="11" s="1"/>
  <c r="H416" i="11"/>
  <c r="G416" i="11"/>
  <c r="F416" i="11"/>
  <c r="E416" i="11"/>
  <c r="D416" i="11"/>
  <c r="H415" i="11"/>
  <c r="G415" i="11"/>
  <c r="E415" i="11"/>
  <c r="D415" i="11"/>
  <c r="F415" i="11" s="1"/>
  <c r="H414" i="11"/>
  <c r="D414" i="11"/>
  <c r="H413" i="11"/>
  <c r="F413" i="11"/>
  <c r="E413" i="11"/>
  <c r="D413" i="11"/>
  <c r="G413" i="11" s="1"/>
  <c r="H412" i="11"/>
  <c r="D412" i="11"/>
  <c r="H411" i="11"/>
  <c r="G411" i="11"/>
  <c r="F411" i="11"/>
  <c r="D411" i="11"/>
  <c r="E411" i="11" s="1"/>
  <c r="H410" i="11"/>
  <c r="F410" i="11"/>
  <c r="D410" i="11"/>
  <c r="G410" i="11" s="1"/>
  <c r="H409" i="11"/>
  <c r="F409" i="11"/>
  <c r="E409" i="11"/>
  <c r="D409" i="11"/>
  <c r="G409" i="11" s="1"/>
  <c r="H408" i="11"/>
  <c r="G408" i="11"/>
  <c r="F408" i="11"/>
  <c r="E408" i="11"/>
  <c r="D408" i="11"/>
  <c r="H407" i="11"/>
  <c r="G407" i="11"/>
  <c r="E407" i="11"/>
  <c r="D407" i="11"/>
  <c r="F407" i="11" s="1"/>
  <c r="H406" i="11"/>
  <c r="D406" i="11"/>
  <c r="H405" i="11"/>
  <c r="F405" i="11"/>
  <c r="E405" i="11"/>
  <c r="D405" i="11"/>
  <c r="G405" i="11" s="1"/>
  <c r="H404" i="11"/>
  <c r="D404" i="11"/>
  <c r="H403" i="11"/>
  <c r="G403" i="11"/>
  <c r="F403" i="11"/>
  <c r="D403" i="11"/>
  <c r="E403" i="11" s="1"/>
  <c r="H402" i="11"/>
  <c r="F402" i="11"/>
  <c r="D402" i="11"/>
  <c r="G402" i="11" s="1"/>
  <c r="H401" i="11"/>
  <c r="F401" i="11"/>
  <c r="E401" i="11"/>
  <c r="D401" i="11"/>
  <c r="G401" i="11" s="1"/>
  <c r="H400" i="11"/>
  <c r="G400" i="11"/>
  <c r="F400" i="11"/>
  <c r="E400" i="11"/>
  <c r="D400" i="11"/>
  <c r="H399" i="11"/>
  <c r="G399" i="11"/>
  <c r="E399" i="11"/>
  <c r="D399" i="11"/>
  <c r="F399" i="11" s="1"/>
  <c r="H398" i="11"/>
  <c r="D398" i="11"/>
  <c r="H397" i="11"/>
  <c r="F397" i="11"/>
  <c r="E397" i="11"/>
  <c r="D397" i="11"/>
  <c r="G397" i="11" s="1"/>
  <c r="H396" i="11"/>
  <c r="D396" i="11"/>
  <c r="H395" i="11"/>
  <c r="G395" i="11"/>
  <c r="F395" i="11"/>
  <c r="D395" i="11"/>
  <c r="E395" i="11" s="1"/>
  <c r="H394" i="11"/>
  <c r="G394" i="11"/>
  <c r="D394" i="11"/>
  <c r="F394" i="11" s="1"/>
  <c r="H393" i="11"/>
  <c r="D393" i="11"/>
  <c r="H392" i="11"/>
  <c r="G392" i="11"/>
  <c r="F392" i="11"/>
  <c r="E392" i="11"/>
  <c r="D392" i="11"/>
  <c r="H391" i="11"/>
  <c r="F391" i="11"/>
  <c r="D391" i="11"/>
  <c r="H390" i="11"/>
  <c r="D390" i="11"/>
  <c r="H389" i="11"/>
  <c r="G389" i="11"/>
  <c r="F389" i="11"/>
  <c r="D389" i="11"/>
  <c r="E389" i="11" s="1"/>
  <c r="H388" i="11"/>
  <c r="F388" i="11"/>
  <c r="E388" i="11"/>
  <c r="D388" i="11"/>
  <c r="G388" i="11" s="1"/>
  <c r="H387" i="11"/>
  <c r="G387" i="11"/>
  <c r="F387" i="11"/>
  <c r="D387" i="11"/>
  <c r="E387" i="11" s="1"/>
  <c r="H386" i="11"/>
  <c r="D386" i="11"/>
  <c r="H385" i="11"/>
  <c r="D385" i="11"/>
  <c r="H384" i="11"/>
  <c r="G384" i="11"/>
  <c r="F384" i="11"/>
  <c r="E384" i="11"/>
  <c r="D384" i="11"/>
  <c r="H383" i="11"/>
  <c r="F383" i="11"/>
  <c r="D383" i="11"/>
  <c r="E383" i="11" s="1"/>
  <c r="H382" i="11"/>
  <c r="D382" i="11"/>
  <c r="H381" i="11"/>
  <c r="F381" i="11"/>
  <c r="D381" i="11"/>
  <c r="E381" i="11" s="1"/>
  <c r="H380" i="11"/>
  <c r="D380" i="11"/>
  <c r="H379" i="11"/>
  <c r="G379" i="11"/>
  <c r="F379" i="11"/>
  <c r="D379" i="11"/>
  <c r="E379" i="11" s="1"/>
  <c r="H378" i="11"/>
  <c r="F378" i="11"/>
  <c r="E378" i="11"/>
  <c r="D378" i="11"/>
  <c r="G378" i="11" s="1"/>
  <c r="H377" i="11"/>
  <c r="D377" i="11"/>
  <c r="H376" i="11"/>
  <c r="G376" i="11"/>
  <c r="F376" i="11"/>
  <c r="E376" i="11"/>
  <c r="D376" i="11"/>
  <c r="H375" i="11"/>
  <c r="G375" i="11"/>
  <c r="F375" i="11"/>
  <c r="E375" i="11"/>
  <c r="D375" i="11"/>
  <c r="H374" i="11"/>
  <c r="G374" i="11"/>
  <c r="D374" i="11"/>
  <c r="H373" i="11"/>
  <c r="G373" i="11"/>
  <c r="F373" i="11"/>
  <c r="E373" i="11"/>
  <c r="D373" i="11"/>
  <c r="H372" i="11"/>
  <c r="F372" i="11"/>
  <c r="D372" i="11"/>
  <c r="H371" i="11"/>
  <c r="G371" i="11"/>
  <c r="F371" i="11"/>
  <c r="D371" i="11"/>
  <c r="E371" i="11" s="1"/>
  <c r="H370" i="11"/>
  <c r="G370" i="11"/>
  <c r="E370" i="11"/>
  <c r="D370" i="11"/>
  <c r="F370" i="11" s="1"/>
  <c r="H369" i="11"/>
  <c r="D369" i="11"/>
  <c r="H368" i="11"/>
  <c r="G368" i="11"/>
  <c r="F368" i="11"/>
  <c r="E368" i="11"/>
  <c r="D368" i="11"/>
  <c r="H367" i="11"/>
  <c r="F367" i="11"/>
  <c r="E367" i="11"/>
  <c r="D367" i="11"/>
  <c r="G367" i="11" s="1"/>
  <c r="H366" i="11"/>
  <c r="D366" i="11"/>
  <c r="F366" i="11" s="1"/>
  <c r="H365" i="11"/>
  <c r="G365" i="11"/>
  <c r="D365" i="11"/>
  <c r="E365" i="11" s="1"/>
  <c r="H364" i="11"/>
  <c r="D364" i="11"/>
  <c r="H363" i="11"/>
  <c r="F363" i="11"/>
  <c r="D363" i="11"/>
  <c r="E363" i="11" s="1"/>
  <c r="H362" i="11"/>
  <c r="D362" i="11"/>
  <c r="H361" i="11"/>
  <c r="F361" i="11"/>
  <c r="D361" i="11"/>
  <c r="G361" i="11" s="1"/>
  <c r="H360" i="11"/>
  <c r="G360" i="11"/>
  <c r="F360" i="11"/>
  <c r="E360" i="11"/>
  <c r="D360" i="11"/>
  <c r="H359" i="11"/>
  <c r="G359" i="11"/>
  <c r="F359" i="11"/>
  <c r="E359" i="11"/>
  <c r="D359" i="11"/>
  <c r="H358" i="11"/>
  <c r="D358" i="11"/>
  <c r="H357" i="11"/>
  <c r="F357" i="11"/>
  <c r="D357" i="11"/>
  <c r="H356" i="11"/>
  <c r="F356" i="11"/>
  <c r="D356" i="11"/>
  <c r="E356" i="11" s="1"/>
  <c r="H355" i="11"/>
  <c r="D355" i="11"/>
  <c r="H354" i="11"/>
  <c r="G354" i="11"/>
  <c r="D354" i="11"/>
  <c r="H353" i="11"/>
  <c r="G353" i="11"/>
  <c r="D353" i="11"/>
  <c r="E353" i="11" s="1"/>
  <c r="H352" i="11"/>
  <c r="F352" i="11"/>
  <c r="D352" i="11"/>
  <c r="H351" i="11"/>
  <c r="F351" i="11"/>
  <c r="D351" i="11"/>
  <c r="E351" i="11" s="1"/>
  <c r="H350" i="11"/>
  <c r="F350" i="11"/>
  <c r="E350" i="11"/>
  <c r="D350" i="11"/>
  <c r="G350" i="11" s="1"/>
  <c r="H349" i="11"/>
  <c r="G349" i="11"/>
  <c r="F349" i="11"/>
  <c r="E349" i="11"/>
  <c r="D349" i="11"/>
  <c r="H348" i="11"/>
  <c r="G348" i="11"/>
  <c r="E348" i="11"/>
  <c r="D348" i="11"/>
  <c r="F348" i="11" s="1"/>
  <c r="H347" i="11"/>
  <c r="G347" i="11"/>
  <c r="E347" i="11"/>
  <c r="D347" i="11"/>
  <c r="F347" i="11" s="1"/>
  <c r="H346" i="11"/>
  <c r="D346" i="11"/>
  <c r="H345" i="11"/>
  <c r="F345" i="11"/>
  <c r="D345" i="11"/>
  <c r="H344" i="11"/>
  <c r="D344" i="11"/>
  <c r="H343" i="11"/>
  <c r="F343" i="11"/>
  <c r="D343" i="11"/>
  <c r="E343" i="11" s="1"/>
  <c r="H342" i="11"/>
  <c r="F342" i="11"/>
  <c r="E342" i="11"/>
  <c r="D342" i="11"/>
  <c r="G342" i="11" s="1"/>
  <c r="H341" i="11"/>
  <c r="G341" i="11"/>
  <c r="F341" i="11"/>
  <c r="E341" i="11"/>
  <c r="D341" i="11"/>
  <c r="H340" i="11"/>
  <c r="G340" i="11"/>
  <c r="E340" i="11"/>
  <c r="D340" i="11"/>
  <c r="F340" i="11" s="1"/>
  <c r="H339" i="11"/>
  <c r="D339" i="11"/>
  <c r="H338" i="11"/>
  <c r="D338" i="11"/>
  <c r="H337" i="11"/>
  <c r="G337" i="11"/>
  <c r="F337" i="11"/>
  <c r="D337" i="11"/>
  <c r="E337" i="11" s="1"/>
  <c r="H336" i="11"/>
  <c r="F336" i="11"/>
  <c r="D336" i="11"/>
  <c r="H335" i="11"/>
  <c r="F335" i="11"/>
  <c r="D335" i="11"/>
  <c r="E335" i="11" s="1"/>
  <c r="H334" i="11"/>
  <c r="F334" i="11"/>
  <c r="E334" i="11"/>
  <c r="D334" i="11"/>
  <c r="G334" i="11" s="1"/>
  <c r="H333" i="11"/>
  <c r="G333" i="11"/>
  <c r="F333" i="11"/>
  <c r="E333" i="11"/>
  <c r="D333" i="11"/>
  <c r="H332" i="11"/>
  <c r="G332" i="11"/>
  <c r="E332" i="11"/>
  <c r="D332" i="11"/>
  <c r="F332" i="11" s="1"/>
  <c r="H331" i="11"/>
  <c r="E331" i="11"/>
  <c r="D331" i="11"/>
  <c r="F331" i="11" s="1"/>
  <c r="H330" i="11"/>
  <c r="D330" i="11"/>
  <c r="G330" i="11" s="1"/>
  <c r="H329" i="11"/>
  <c r="D329" i="11"/>
  <c r="H328" i="11"/>
  <c r="D328" i="11"/>
  <c r="H327" i="11"/>
  <c r="F327" i="11"/>
  <c r="D327" i="11"/>
  <c r="E327" i="11" s="1"/>
  <c r="H326" i="11"/>
  <c r="F326" i="11"/>
  <c r="E326" i="11"/>
  <c r="D326" i="11"/>
  <c r="G326" i="11" s="1"/>
  <c r="H325" i="11"/>
  <c r="G325" i="11"/>
  <c r="F325" i="11"/>
  <c r="E325" i="11"/>
  <c r="D325" i="11"/>
  <c r="H324" i="11"/>
  <c r="G324" i="11"/>
  <c r="E324" i="11"/>
  <c r="D324" i="11"/>
  <c r="F324" i="11" s="1"/>
  <c r="H323" i="11"/>
  <c r="D323" i="11"/>
  <c r="F323" i="11" s="1"/>
  <c r="H322" i="11"/>
  <c r="G322" i="11"/>
  <c r="D322" i="11"/>
  <c r="H321" i="11"/>
  <c r="G321" i="11"/>
  <c r="D321" i="11"/>
  <c r="E321" i="11" s="1"/>
  <c r="H320" i="11"/>
  <c r="D320" i="11"/>
  <c r="H319" i="11"/>
  <c r="F319" i="11"/>
  <c r="D319" i="11"/>
  <c r="E319" i="11" s="1"/>
  <c r="H318" i="11"/>
  <c r="F318" i="11"/>
  <c r="E318" i="11"/>
  <c r="D318" i="11"/>
  <c r="G318" i="11" s="1"/>
  <c r="H317" i="11"/>
  <c r="G317" i="11"/>
  <c r="F317" i="11"/>
  <c r="E317" i="11"/>
  <c r="D317" i="11"/>
  <c r="H316" i="11"/>
  <c r="G316" i="11"/>
  <c r="E316" i="11"/>
  <c r="D316" i="11"/>
  <c r="F316" i="11" s="1"/>
  <c r="H315" i="11"/>
  <c r="G315" i="11"/>
  <c r="E315" i="11"/>
  <c r="D315" i="11"/>
  <c r="F315" i="11" s="1"/>
  <c r="H314" i="11"/>
  <c r="D314" i="11"/>
  <c r="H313" i="11"/>
  <c r="D313" i="11"/>
  <c r="F313" i="11" s="1"/>
  <c r="H312" i="11"/>
  <c r="D312" i="11"/>
  <c r="H311" i="11"/>
  <c r="F311" i="11"/>
  <c r="D311" i="11"/>
  <c r="E311" i="11" s="1"/>
  <c r="H310" i="11"/>
  <c r="F310" i="11"/>
  <c r="E310" i="11"/>
  <c r="D310" i="11"/>
  <c r="G310" i="11" s="1"/>
  <c r="H309" i="11"/>
  <c r="G309" i="11"/>
  <c r="F309" i="11"/>
  <c r="E309" i="11"/>
  <c r="D309" i="11"/>
  <c r="H308" i="11"/>
  <c r="G308" i="11"/>
  <c r="E308" i="11"/>
  <c r="D308" i="11"/>
  <c r="F308" i="11" s="1"/>
  <c r="H307" i="11"/>
  <c r="G307" i="11"/>
  <c r="D307" i="11"/>
  <c r="H306" i="11"/>
  <c r="D306" i="11"/>
  <c r="H305" i="11"/>
  <c r="G305" i="11"/>
  <c r="F305" i="11"/>
  <c r="D305" i="11"/>
  <c r="E305" i="11" s="1"/>
  <c r="H304" i="11"/>
  <c r="F304" i="11"/>
  <c r="D304" i="11"/>
  <c r="H303" i="11"/>
  <c r="F303" i="11"/>
  <c r="D303" i="11"/>
  <c r="E303" i="11" s="1"/>
  <c r="H302" i="11"/>
  <c r="F302" i="11"/>
  <c r="E302" i="11"/>
  <c r="D302" i="11"/>
  <c r="G302" i="11" s="1"/>
  <c r="H301" i="11"/>
  <c r="G301" i="11"/>
  <c r="F301" i="11"/>
  <c r="E301" i="11"/>
  <c r="D301" i="11"/>
  <c r="H300" i="11"/>
  <c r="G300" i="11"/>
  <c r="E300" i="11"/>
  <c r="D300" i="11"/>
  <c r="F300" i="11" s="1"/>
  <c r="H299" i="11"/>
  <c r="E299" i="11"/>
  <c r="D299" i="11"/>
  <c r="H298" i="11"/>
  <c r="D298" i="11"/>
  <c r="H297" i="11"/>
  <c r="D297" i="11"/>
  <c r="H296" i="11"/>
  <c r="D296" i="11"/>
  <c r="H295" i="11"/>
  <c r="F295" i="11"/>
  <c r="D295" i="11"/>
  <c r="E295" i="11" s="1"/>
  <c r="H294" i="11"/>
  <c r="F294" i="11"/>
  <c r="E294" i="11"/>
  <c r="D294" i="11"/>
  <c r="G294" i="11" s="1"/>
  <c r="H293" i="11"/>
  <c r="G293" i="11"/>
  <c r="F293" i="11"/>
  <c r="E293" i="11"/>
  <c r="D293" i="11"/>
  <c r="H292" i="11"/>
  <c r="G292" i="11"/>
  <c r="E292" i="11"/>
  <c r="D292" i="11"/>
  <c r="F292" i="11" s="1"/>
  <c r="H291" i="11"/>
  <c r="D291" i="11"/>
  <c r="F291" i="11" s="1"/>
  <c r="H290" i="11"/>
  <c r="G290" i="11"/>
  <c r="D290" i="11"/>
  <c r="H289" i="11"/>
  <c r="G289" i="11"/>
  <c r="D289" i="11"/>
  <c r="E289" i="11" s="1"/>
  <c r="H288" i="11"/>
  <c r="D288" i="11"/>
  <c r="H287" i="11"/>
  <c r="F287" i="11"/>
  <c r="D287" i="11"/>
  <c r="E287" i="11" s="1"/>
  <c r="H286" i="11"/>
  <c r="F286" i="11"/>
  <c r="E286" i="11"/>
  <c r="D286" i="11"/>
  <c r="G286" i="11" s="1"/>
  <c r="H285" i="11"/>
  <c r="G285" i="11"/>
  <c r="F285" i="11"/>
  <c r="E285" i="11"/>
  <c r="D285" i="11"/>
  <c r="H284" i="11"/>
  <c r="G284" i="11"/>
  <c r="E284" i="11"/>
  <c r="D284" i="11"/>
  <c r="F284" i="11" s="1"/>
  <c r="H283" i="11"/>
  <c r="G283" i="11"/>
  <c r="E283" i="11"/>
  <c r="D283" i="11"/>
  <c r="F283" i="11" s="1"/>
  <c r="H282" i="11"/>
  <c r="D282" i="11"/>
  <c r="H281" i="11"/>
  <c r="D281" i="11"/>
  <c r="H280" i="11"/>
  <c r="D280" i="11"/>
  <c r="H279" i="11"/>
  <c r="F279" i="11"/>
  <c r="D279" i="11"/>
  <c r="E279" i="11" s="1"/>
  <c r="H278" i="11"/>
  <c r="F278" i="11"/>
  <c r="E278" i="11"/>
  <c r="D278" i="11"/>
  <c r="G278" i="11" s="1"/>
  <c r="H277" i="11"/>
  <c r="G277" i="11"/>
  <c r="F277" i="11"/>
  <c r="E277" i="11"/>
  <c r="D277" i="11"/>
  <c r="H276" i="11"/>
  <c r="G276" i="11"/>
  <c r="E276" i="11"/>
  <c r="D276" i="11"/>
  <c r="F276" i="11" s="1"/>
  <c r="H275" i="11"/>
  <c r="G275" i="11"/>
  <c r="D275" i="11"/>
  <c r="H274" i="11"/>
  <c r="D274" i="11"/>
  <c r="H273" i="11"/>
  <c r="G273" i="11"/>
  <c r="F273" i="11"/>
  <c r="D273" i="11"/>
  <c r="E273" i="11" s="1"/>
  <c r="H272" i="11"/>
  <c r="F272" i="11"/>
  <c r="D272" i="11"/>
  <c r="H271" i="11"/>
  <c r="F271" i="11"/>
  <c r="D271" i="11"/>
  <c r="E271" i="11" s="1"/>
  <c r="H270" i="11"/>
  <c r="F270" i="11"/>
  <c r="E270" i="11"/>
  <c r="D270" i="11"/>
  <c r="G270" i="11" s="1"/>
  <c r="H269" i="11"/>
  <c r="G269" i="11"/>
  <c r="F269" i="11"/>
  <c r="E269" i="11"/>
  <c r="D269" i="11"/>
  <c r="H268" i="11"/>
  <c r="G268" i="11"/>
  <c r="E268" i="11"/>
  <c r="D268" i="11"/>
  <c r="F268" i="11" s="1"/>
  <c r="H267" i="11"/>
  <c r="E267" i="11"/>
  <c r="D267" i="11"/>
  <c r="H266" i="11"/>
  <c r="D266" i="11"/>
  <c r="G266" i="11" s="1"/>
  <c r="H265" i="11"/>
  <c r="D265" i="11"/>
  <c r="H264" i="11"/>
  <c r="D264" i="11"/>
  <c r="H263" i="11"/>
  <c r="F263" i="11"/>
  <c r="E263" i="11"/>
  <c r="D263" i="11"/>
  <c r="G263" i="11" s="1"/>
  <c r="H262" i="11"/>
  <c r="F262" i="11"/>
  <c r="E262" i="11"/>
  <c r="D262" i="11"/>
  <c r="G262" i="11" s="1"/>
  <c r="H261" i="11"/>
  <c r="G261" i="11"/>
  <c r="F261" i="11"/>
  <c r="E261" i="11"/>
  <c r="D261" i="11"/>
  <c r="H260" i="11"/>
  <c r="G260" i="11"/>
  <c r="E260" i="11"/>
  <c r="D260" i="11"/>
  <c r="F260" i="11" s="1"/>
  <c r="H259" i="11"/>
  <c r="D259" i="11"/>
  <c r="H258" i="11"/>
  <c r="D258" i="11"/>
  <c r="H257" i="11"/>
  <c r="D257" i="11"/>
  <c r="E257" i="11" s="1"/>
  <c r="H256" i="11"/>
  <c r="F256" i="11"/>
  <c r="D256" i="11"/>
  <c r="H255" i="11"/>
  <c r="F255" i="11"/>
  <c r="E255" i="11"/>
  <c r="D255" i="11"/>
  <c r="G255" i="11" s="1"/>
  <c r="H254" i="11"/>
  <c r="F254" i="11"/>
  <c r="E254" i="11"/>
  <c r="D254" i="11"/>
  <c r="G254" i="11" s="1"/>
  <c r="H253" i="11"/>
  <c r="G253" i="11"/>
  <c r="E253" i="11"/>
  <c r="D253" i="11"/>
  <c r="F253" i="11" s="1"/>
  <c r="H252" i="11"/>
  <c r="G252" i="11"/>
  <c r="E252" i="11"/>
  <c r="D252" i="11"/>
  <c r="F252" i="11" s="1"/>
  <c r="H251" i="11"/>
  <c r="G251" i="11"/>
  <c r="D251" i="11"/>
  <c r="F251" i="11" s="1"/>
  <c r="H250" i="11"/>
  <c r="D250" i="11"/>
  <c r="H249" i="11"/>
  <c r="D249" i="11"/>
  <c r="E249" i="11" s="1"/>
  <c r="H248" i="11"/>
  <c r="F248" i="11"/>
  <c r="D248" i="11"/>
  <c r="H247" i="11"/>
  <c r="F247" i="11"/>
  <c r="E247" i="11"/>
  <c r="D247" i="11"/>
  <c r="G247" i="11" s="1"/>
  <c r="H246" i="11"/>
  <c r="G246" i="11"/>
  <c r="F246" i="11"/>
  <c r="E246" i="11"/>
  <c r="D246" i="11"/>
  <c r="H245" i="11"/>
  <c r="D245" i="11"/>
  <c r="H244" i="11"/>
  <c r="D244" i="11"/>
  <c r="H243" i="11"/>
  <c r="E243" i="11"/>
  <c r="D243" i="11"/>
  <c r="H242" i="11"/>
  <c r="G242" i="11"/>
  <c r="F242" i="11"/>
  <c r="D242" i="11"/>
  <c r="E242" i="11" s="1"/>
  <c r="H241" i="11"/>
  <c r="F241" i="11"/>
  <c r="D241" i="11"/>
  <c r="H240" i="11"/>
  <c r="G240" i="11"/>
  <c r="F240" i="11"/>
  <c r="D240" i="11"/>
  <c r="E240" i="11" s="1"/>
  <c r="H239" i="11"/>
  <c r="F239" i="11"/>
  <c r="E239" i="11"/>
  <c r="D239" i="11"/>
  <c r="G239" i="11" s="1"/>
  <c r="H238" i="11"/>
  <c r="G238" i="11"/>
  <c r="F238" i="11"/>
  <c r="E238" i="11"/>
  <c r="D238" i="11"/>
  <c r="H237" i="11"/>
  <c r="G237" i="11"/>
  <c r="E237" i="11"/>
  <c r="D237" i="11"/>
  <c r="F237" i="11" s="1"/>
  <c r="H236" i="11"/>
  <c r="D236" i="11"/>
  <c r="H235" i="11"/>
  <c r="G235" i="11"/>
  <c r="F235" i="11"/>
  <c r="E235" i="11"/>
  <c r="D235" i="11"/>
  <c r="H234" i="11"/>
  <c r="F234" i="11"/>
  <c r="E234" i="11"/>
  <c r="D234" i="11"/>
  <c r="G234" i="11" s="1"/>
  <c r="H233" i="11"/>
  <c r="G233" i="11"/>
  <c r="D233" i="11"/>
  <c r="E233" i="11" s="1"/>
  <c r="H232" i="11"/>
  <c r="D232" i="11"/>
  <c r="E232" i="11" s="1"/>
  <c r="H231" i="11"/>
  <c r="D231" i="11"/>
  <c r="G231" i="11" s="1"/>
  <c r="H230" i="11"/>
  <c r="G230" i="11"/>
  <c r="F230" i="11"/>
  <c r="E230" i="11"/>
  <c r="D230" i="11"/>
  <c r="H229" i="11"/>
  <c r="E229" i="11"/>
  <c r="D229" i="11"/>
  <c r="H228" i="11"/>
  <c r="G228" i="11"/>
  <c r="E228" i="11"/>
  <c r="D228" i="11"/>
  <c r="F228" i="11" s="1"/>
  <c r="H227" i="11"/>
  <c r="F227" i="11"/>
  <c r="E227" i="11"/>
  <c r="D227" i="11"/>
  <c r="G227" i="11" s="1"/>
  <c r="H226" i="11"/>
  <c r="G226" i="11"/>
  <c r="D226" i="11"/>
  <c r="F226" i="11" s="1"/>
  <c r="H225" i="11"/>
  <c r="D225" i="11"/>
  <c r="H224" i="11"/>
  <c r="D224" i="11"/>
  <c r="H223" i="11"/>
  <c r="E223" i="11"/>
  <c r="D223" i="11"/>
  <c r="H222" i="11"/>
  <c r="G222" i="11"/>
  <c r="F222" i="11"/>
  <c r="E222" i="11"/>
  <c r="D222" i="11"/>
  <c r="H221" i="11"/>
  <c r="G221" i="11"/>
  <c r="F221" i="11"/>
  <c r="D221" i="11"/>
  <c r="E221" i="11" s="1"/>
  <c r="H220" i="11"/>
  <c r="G220" i="11"/>
  <c r="E220" i="11"/>
  <c r="D220" i="11"/>
  <c r="F220" i="11" s="1"/>
  <c r="H219" i="11"/>
  <c r="G219" i="11"/>
  <c r="D219" i="11"/>
  <c r="F219" i="11" s="1"/>
  <c r="H218" i="11"/>
  <c r="E218" i="11"/>
  <c r="D218" i="11"/>
  <c r="F218" i="11" s="1"/>
  <c r="H217" i="11"/>
  <c r="D217" i="11"/>
  <c r="H216" i="11"/>
  <c r="G216" i="11"/>
  <c r="F216" i="11"/>
  <c r="E216" i="11"/>
  <c r="D216" i="11"/>
  <c r="H215" i="11"/>
  <c r="D215" i="11"/>
  <c r="H214" i="11"/>
  <c r="G214" i="11"/>
  <c r="F214" i="11"/>
  <c r="E214" i="11"/>
  <c r="D214" i="11"/>
  <c r="H213" i="11"/>
  <c r="D213" i="11"/>
  <c r="E213" i="11" s="1"/>
  <c r="H212" i="11"/>
  <c r="D212" i="11"/>
  <c r="F212" i="11" s="1"/>
  <c r="H211" i="11"/>
  <c r="G211" i="11"/>
  <c r="E211" i="11"/>
  <c r="D211" i="11"/>
  <c r="F211" i="11" s="1"/>
  <c r="H210" i="11"/>
  <c r="E210" i="11"/>
  <c r="D210" i="11"/>
  <c r="H209" i="11"/>
  <c r="G209" i="11"/>
  <c r="F209" i="11"/>
  <c r="D209" i="11"/>
  <c r="E209" i="11" s="1"/>
  <c r="H208" i="11"/>
  <c r="F208" i="11"/>
  <c r="E208" i="11"/>
  <c r="D208" i="11"/>
  <c r="G208" i="11" s="1"/>
  <c r="H207" i="11"/>
  <c r="F207" i="11"/>
  <c r="D207" i="11"/>
  <c r="G207" i="11" s="1"/>
  <c r="H206" i="11"/>
  <c r="G206" i="11"/>
  <c r="F206" i="11"/>
  <c r="E206" i="11"/>
  <c r="D206" i="11"/>
  <c r="H205" i="11"/>
  <c r="D205" i="11"/>
  <c r="H204" i="11"/>
  <c r="D204" i="11"/>
  <c r="F204" i="11" s="1"/>
  <c r="H203" i="11"/>
  <c r="E203" i="11"/>
  <c r="D203" i="11"/>
  <c r="H202" i="11"/>
  <c r="G202" i="11"/>
  <c r="F202" i="11"/>
  <c r="D202" i="11"/>
  <c r="E202" i="11" s="1"/>
  <c r="H201" i="11"/>
  <c r="G201" i="11"/>
  <c r="F201" i="11"/>
  <c r="D201" i="11"/>
  <c r="E201" i="11" s="1"/>
  <c r="H200" i="11"/>
  <c r="G200" i="11"/>
  <c r="D200" i="11"/>
  <c r="F200" i="11" s="1"/>
  <c r="H199" i="11"/>
  <c r="F199" i="11"/>
  <c r="E199" i="11"/>
  <c r="D199" i="11"/>
  <c r="G199" i="11" s="1"/>
  <c r="H198" i="11"/>
  <c r="G198" i="11"/>
  <c r="F198" i="11"/>
  <c r="E198" i="11"/>
  <c r="D198" i="11"/>
  <c r="H197" i="11"/>
  <c r="G197" i="11"/>
  <c r="F197" i="11"/>
  <c r="E197" i="11"/>
  <c r="D197" i="11"/>
  <c r="H196" i="11"/>
  <c r="E196" i="11"/>
  <c r="D196" i="11"/>
  <c r="H195" i="11"/>
  <c r="G195" i="11"/>
  <c r="F195" i="11"/>
  <c r="D195" i="11"/>
  <c r="E195" i="11" s="1"/>
  <c r="H194" i="11"/>
  <c r="D194" i="11"/>
  <c r="G194" i="11" s="1"/>
  <c r="H193" i="11"/>
  <c r="D193" i="11"/>
  <c r="E193" i="11" s="1"/>
  <c r="H192" i="11"/>
  <c r="F192" i="11"/>
  <c r="E192" i="11"/>
  <c r="D192" i="11"/>
  <c r="G192" i="11" s="1"/>
  <c r="H191" i="11"/>
  <c r="D191" i="11"/>
  <c r="H190" i="11"/>
  <c r="G190" i="11"/>
  <c r="F190" i="11"/>
  <c r="E190" i="11"/>
  <c r="D190" i="11"/>
  <c r="H189" i="11"/>
  <c r="F189" i="11"/>
  <c r="E189" i="11"/>
  <c r="D189" i="11"/>
  <c r="G189" i="11" s="1"/>
  <c r="H188" i="11"/>
  <c r="G188" i="11"/>
  <c r="D188" i="11"/>
  <c r="F188" i="11" s="1"/>
  <c r="H187" i="11"/>
  <c r="G187" i="11"/>
  <c r="F187" i="11"/>
  <c r="E187" i="11"/>
  <c r="D187" i="11"/>
  <c r="H186" i="11"/>
  <c r="D186" i="11"/>
  <c r="H185" i="11"/>
  <c r="D185" i="11"/>
  <c r="E185" i="11" s="1"/>
  <c r="H184" i="11"/>
  <c r="E184" i="11"/>
  <c r="D184" i="11"/>
  <c r="H183" i="11"/>
  <c r="F183" i="11"/>
  <c r="E183" i="11"/>
  <c r="D183" i="11"/>
  <c r="G183" i="11" s="1"/>
  <c r="H182" i="11"/>
  <c r="G182" i="11"/>
  <c r="F182" i="11"/>
  <c r="E182" i="11"/>
  <c r="D182" i="11"/>
  <c r="H181" i="11"/>
  <c r="G181" i="11"/>
  <c r="D181" i="11"/>
  <c r="F181" i="11" s="1"/>
  <c r="H180" i="11"/>
  <c r="G180" i="11"/>
  <c r="E180" i="11"/>
  <c r="D180" i="11"/>
  <c r="F180" i="11" s="1"/>
  <c r="H179" i="11"/>
  <c r="D179" i="11"/>
  <c r="H178" i="11"/>
  <c r="G178" i="11"/>
  <c r="F178" i="11"/>
  <c r="E178" i="11"/>
  <c r="D178" i="11"/>
  <c r="H177" i="11"/>
  <c r="D177" i="11"/>
  <c r="F177" i="11" s="1"/>
  <c r="H176" i="11"/>
  <c r="G176" i="11"/>
  <c r="F176" i="11"/>
  <c r="D176" i="11"/>
  <c r="E176" i="11" s="1"/>
  <c r="H175" i="11"/>
  <c r="D175" i="11"/>
  <c r="G175" i="11" s="1"/>
  <c r="H174" i="11"/>
  <c r="G174" i="11"/>
  <c r="F174" i="11"/>
  <c r="E174" i="11"/>
  <c r="D174" i="11"/>
  <c r="H173" i="11"/>
  <c r="F173" i="11"/>
  <c r="E173" i="11"/>
  <c r="D173" i="11"/>
  <c r="G173" i="11" s="1"/>
  <c r="H172" i="11"/>
  <c r="D172" i="11"/>
  <c r="H171" i="11"/>
  <c r="G171" i="11"/>
  <c r="F171" i="11"/>
  <c r="E171" i="11"/>
  <c r="D171" i="11"/>
  <c r="H170" i="11"/>
  <c r="F170" i="11"/>
  <c r="E170" i="11"/>
  <c r="D170" i="11"/>
  <c r="G170" i="11" s="1"/>
  <c r="H169" i="11"/>
  <c r="G169" i="11"/>
  <c r="D169" i="11"/>
  <c r="F169" i="11" s="1"/>
  <c r="H168" i="11"/>
  <c r="G168" i="11"/>
  <c r="F168" i="11"/>
  <c r="E168" i="11"/>
  <c r="D168" i="11"/>
  <c r="H167" i="11"/>
  <c r="D167" i="11"/>
  <c r="E167" i="11" s="1"/>
  <c r="H166" i="11"/>
  <c r="G166" i="11"/>
  <c r="F166" i="11"/>
  <c r="D166" i="11"/>
  <c r="E166" i="11" s="1"/>
  <c r="H165" i="11"/>
  <c r="E165" i="11"/>
  <c r="D165" i="11"/>
  <c r="G165" i="11" s="1"/>
  <c r="H164" i="11"/>
  <c r="D164" i="11"/>
  <c r="H163" i="11"/>
  <c r="G163" i="11"/>
  <c r="F163" i="11"/>
  <c r="E163" i="11"/>
  <c r="D163" i="11"/>
  <c r="H162" i="11"/>
  <c r="D162" i="11"/>
  <c r="G162" i="11" s="1"/>
  <c r="H161" i="11"/>
  <c r="G161" i="11"/>
  <c r="D161" i="11"/>
  <c r="F161" i="11" s="1"/>
  <c r="H160" i="11"/>
  <c r="D160" i="11"/>
  <c r="G160" i="11" s="1"/>
  <c r="H159" i="11"/>
  <c r="E159" i="11"/>
  <c r="D159" i="11"/>
  <c r="H158" i="11"/>
  <c r="G158" i="11"/>
  <c r="F158" i="11"/>
  <c r="D158" i="11"/>
  <c r="E158" i="11" s="1"/>
  <c r="H157" i="11"/>
  <c r="D157" i="11"/>
  <c r="G157" i="11" s="1"/>
  <c r="H156" i="11"/>
  <c r="D156" i="11"/>
  <c r="H155" i="11"/>
  <c r="G155" i="11"/>
  <c r="F155" i="11"/>
  <c r="E155" i="11"/>
  <c r="D155" i="11"/>
  <c r="H154" i="11"/>
  <c r="D154" i="11"/>
  <c r="G154" i="11" s="1"/>
  <c r="H153" i="11"/>
  <c r="G153" i="11"/>
  <c r="D153" i="11"/>
  <c r="F153" i="11" s="1"/>
  <c r="H152" i="11"/>
  <c r="D152" i="11"/>
  <c r="G152" i="11" s="1"/>
  <c r="H151" i="11"/>
  <c r="E151" i="11"/>
  <c r="D151" i="11"/>
  <c r="H150" i="11"/>
  <c r="G150" i="11"/>
  <c r="F150" i="11"/>
  <c r="D150" i="11"/>
  <c r="E150" i="11" s="1"/>
  <c r="H149" i="11"/>
  <c r="G149" i="11"/>
  <c r="F149" i="11"/>
  <c r="E149" i="11"/>
  <c r="D149" i="11"/>
  <c r="H148" i="11"/>
  <c r="D148" i="11"/>
  <c r="H147" i="11"/>
  <c r="G147" i="11"/>
  <c r="F147" i="11"/>
  <c r="E147" i="11"/>
  <c r="D147" i="11"/>
  <c r="H146" i="11"/>
  <c r="F146" i="11"/>
  <c r="E146" i="11"/>
  <c r="D146" i="11"/>
  <c r="G146" i="11" s="1"/>
  <c r="H145" i="11"/>
  <c r="G145" i="11"/>
  <c r="D145" i="11"/>
  <c r="F145" i="11" s="1"/>
  <c r="H144" i="11"/>
  <c r="F144" i="11"/>
  <c r="E144" i="11"/>
  <c r="D144" i="11"/>
  <c r="G144" i="11" s="1"/>
  <c r="H143" i="11"/>
  <c r="E143" i="11"/>
  <c r="D143" i="11"/>
  <c r="H142" i="11"/>
  <c r="G142" i="11"/>
  <c r="F142" i="11"/>
  <c r="D142" i="11"/>
  <c r="E142" i="11" s="1"/>
  <c r="H141" i="11"/>
  <c r="G141" i="11"/>
  <c r="F141" i="11"/>
  <c r="E141" i="11"/>
  <c r="D141" i="11"/>
  <c r="H140" i="11"/>
  <c r="D140" i="11"/>
  <c r="H139" i="11"/>
  <c r="G139" i="11"/>
  <c r="F139" i="11"/>
  <c r="E139" i="11"/>
  <c r="D139" i="11"/>
  <c r="H138" i="11"/>
  <c r="E138" i="11"/>
  <c r="D138" i="11"/>
  <c r="G138" i="11" s="1"/>
  <c r="H137" i="11"/>
  <c r="G137" i="11"/>
  <c r="E137" i="11"/>
  <c r="D137" i="11"/>
  <c r="F137" i="11" s="1"/>
  <c r="H136" i="11"/>
  <c r="F136" i="11"/>
  <c r="E136" i="11"/>
  <c r="D136" i="11"/>
  <c r="G136" i="11" s="1"/>
  <c r="H135" i="11"/>
  <c r="E135" i="11"/>
  <c r="D135" i="11"/>
  <c r="H134" i="11"/>
  <c r="G134" i="11"/>
  <c r="F134" i="11"/>
  <c r="D134" i="11"/>
  <c r="E134" i="11" s="1"/>
  <c r="H133" i="11"/>
  <c r="G133" i="11"/>
  <c r="F133" i="11"/>
  <c r="E133" i="11"/>
  <c r="D133" i="11"/>
  <c r="H132" i="11"/>
  <c r="D132" i="11"/>
  <c r="H131" i="11"/>
  <c r="G131" i="11"/>
  <c r="F131" i="11"/>
  <c r="E131" i="11"/>
  <c r="D131" i="11"/>
  <c r="H130" i="11"/>
  <c r="E130" i="11"/>
  <c r="D130" i="11"/>
  <c r="G130" i="11" s="1"/>
  <c r="H129" i="11"/>
  <c r="G129" i="11"/>
  <c r="E129" i="11"/>
  <c r="D129" i="11"/>
  <c r="F129" i="11" s="1"/>
  <c r="H128" i="11"/>
  <c r="F128" i="11"/>
  <c r="E128" i="11"/>
  <c r="D128" i="11"/>
  <c r="G128" i="11" s="1"/>
  <c r="H127" i="11"/>
  <c r="E127" i="11"/>
  <c r="D127" i="11"/>
  <c r="H126" i="11"/>
  <c r="G126" i="11"/>
  <c r="F126" i="11"/>
  <c r="D126" i="11"/>
  <c r="E126" i="11" s="1"/>
  <c r="H125" i="11"/>
  <c r="G125" i="11"/>
  <c r="F125" i="11"/>
  <c r="E125" i="11"/>
  <c r="D125" i="11"/>
  <c r="H124" i="11"/>
  <c r="D124" i="11"/>
  <c r="H123" i="11"/>
  <c r="G123" i="11"/>
  <c r="F123" i="11"/>
  <c r="E123" i="11"/>
  <c r="D123" i="11"/>
  <c r="H122" i="11"/>
  <c r="E122" i="11"/>
  <c r="D122" i="11"/>
  <c r="G122" i="11" s="1"/>
  <c r="H121" i="11"/>
  <c r="G121" i="11"/>
  <c r="E121" i="11"/>
  <c r="D121" i="11"/>
  <c r="F121" i="11" s="1"/>
  <c r="H120" i="11"/>
  <c r="F120" i="11"/>
  <c r="E120" i="11"/>
  <c r="D120" i="11"/>
  <c r="G120" i="11" s="1"/>
  <c r="H119" i="11"/>
  <c r="G119" i="11"/>
  <c r="E119" i="11"/>
  <c r="D119" i="11"/>
  <c r="F119" i="11" s="1"/>
  <c r="H118" i="11"/>
  <c r="G118" i="11"/>
  <c r="F118" i="11"/>
  <c r="D118" i="11"/>
  <c r="E118" i="11" s="1"/>
  <c r="H117" i="11"/>
  <c r="G117" i="11"/>
  <c r="F117" i="11"/>
  <c r="E117" i="11"/>
  <c r="D117" i="11"/>
  <c r="H116" i="11"/>
  <c r="F116" i="11"/>
  <c r="D116" i="11"/>
  <c r="H115" i="11"/>
  <c r="G115" i="11"/>
  <c r="F115" i="11"/>
  <c r="E115" i="11"/>
  <c r="D115" i="11"/>
  <c r="H114" i="11"/>
  <c r="D114" i="11"/>
  <c r="G114" i="11" s="1"/>
  <c r="H113" i="11"/>
  <c r="G113" i="11"/>
  <c r="E113" i="11"/>
  <c r="D113" i="11"/>
  <c r="F113" i="11" s="1"/>
  <c r="H112" i="11"/>
  <c r="D112" i="11"/>
  <c r="G112" i="11" s="1"/>
  <c r="H111" i="11"/>
  <c r="D111" i="11"/>
  <c r="F111" i="11" s="1"/>
  <c r="H110" i="11"/>
  <c r="D110" i="11"/>
  <c r="E110" i="11" s="1"/>
  <c r="H109" i="11"/>
  <c r="E109" i="11"/>
  <c r="D109" i="11"/>
  <c r="G109" i="11" s="1"/>
  <c r="H108" i="11"/>
  <c r="D108" i="11"/>
  <c r="H107" i="11"/>
  <c r="G107" i="11"/>
  <c r="F107" i="11"/>
  <c r="E107" i="11"/>
  <c r="D107" i="11"/>
  <c r="H106" i="11"/>
  <c r="F106" i="11"/>
  <c r="E106" i="11"/>
  <c r="D106" i="11"/>
  <c r="G106" i="11" s="1"/>
  <c r="H105" i="11"/>
  <c r="G105" i="11"/>
  <c r="E105" i="11"/>
  <c r="D105" i="11"/>
  <c r="F105" i="11" s="1"/>
  <c r="H104" i="11"/>
  <c r="G104" i="11"/>
  <c r="F104" i="11"/>
  <c r="E104" i="11"/>
  <c r="D104" i="11"/>
  <c r="H103" i="11"/>
  <c r="G103" i="11"/>
  <c r="E103" i="11"/>
  <c r="D103" i="11"/>
  <c r="F103" i="11" s="1"/>
  <c r="H102" i="11"/>
  <c r="G102" i="11"/>
  <c r="F102" i="11"/>
  <c r="D102" i="11"/>
  <c r="E102" i="11" s="1"/>
  <c r="H101" i="11"/>
  <c r="D101" i="11"/>
  <c r="G101" i="11" s="1"/>
  <c r="H100" i="11"/>
  <c r="F100" i="11"/>
  <c r="D100" i="11"/>
  <c r="H99" i="11"/>
  <c r="G99" i="11"/>
  <c r="F99" i="11"/>
  <c r="E99" i="11"/>
  <c r="D99" i="11"/>
  <c r="H98" i="11"/>
  <c r="F98" i="11"/>
  <c r="E98" i="11"/>
  <c r="D98" i="11"/>
  <c r="G98" i="11" s="1"/>
  <c r="H97" i="11"/>
  <c r="G97" i="11"/>
  <c r="E97" i="11"/>
  <c r="D97" i="11"/>
  <c r="F97" i="11" s="1"/>
  <c r="H96" i="11"/>
  <c r="G96" i="11"/>
  <c r="D96" i="11"/>
  <c r="F96" i="11" s="1"/>
  <c r="H95" i="11"/>
  <c r="F95" i="11"/>
  <c r="E95" i="11"/>
  <c r="D95" i="11"/>
  <c r="G95" i="11" s="1"/>
  <c r="H94" i="11"/>
  <c r="F94" i="11"/>
  <c r="D94" i="11"/>
  <c r="E94" i="11" s="1"/>
  <c r="H93" i="11"/>
  <c r="G93" i="11"/>
  <c r="F93" i="11"/>
  <c r="E93" i="11"/>
  <c r="D93" i="11"/>
  <c r="H92" i="11"/>
  <c r="F92" i="11"/>
  <c r="E92" i="11"/>
  <c r="D92" i="11"/>
  <c r="G92" i="11" s="1"/>
  <c r="H91" i="11"/>
  <c r="G91" i="11"/>
  <c r="F91" i="11"/>
  <c r="E91" i="11"/>
  <c r="D91" i="11"/>
  <c r="H90" i="11"/>
  <c r="D90" i="11"/>
  <c r="G90" i="11" s="1"/>
  <c r="H89" i="11"/>
  <c r="D89" i="11"/>
  <c r="F89" i="11" s="1"/>
  <c r="H88" i="11"/>
  <c r="F88" i="11"/>
  <c r="E88" i="11"/>
  <c r="D88" i="11"/>
  <c r="G88" i="11" s="1"/>
  <c r="H87" i="11"/>
  <c r="F87" i="11"/>
  <c r="E87" i="11"/>
  <c r="D87" i="11"/>
  <c r="G87" i="11" s="1"/>
  <c r="H86" i="11"/>
  <c r="G86" i="11"/>
  <c r="F86" i="11"/>
  <c r="D86" i="11"/>
  <c r="E86" i="11" s="1"/>
  <c r="H85" i="11"/>
  <c r="D85" i="11"/>
  <c r="G85" i="11" s="1"/>
  <c r="H84" i="11"/>
  <c r="F84" i="11"/>
  <c r="E84" i="11"/>
  <c r="D84" i="11"/>
  <c r="G84" i="11" s="1"/>
  <c r="H83" i="11"/>
  <c r="G83" i="11"/>
  <c r="F83" i="11"/>
  <c r="E83" i="11"/>
  <c r="D83" i="11"/>
  <c r="H82" i="11"/>
  <c r="E82" i="11"/>
  <c r="D82" i="11"/>
  <c r="G82" i="11" s="1"/>
  <c r="H81" i="11"/>
  <c r="G81" i="11"/>
  <c r="E81" i="11"/>
  <c r="D81" i="11"/>
  <c r="F81" i="11" s="1"/>
  <c r="H80" i="11"/>
  <c r="F80" i="11"/>
  <c r="E80" i="11"/>
  <c r="D80" i="11"/>
  <c r="G80" i="11" s="1"/>
  <c r="H79" i="11"/>
  <c r="G79" i="11"/>
  <c r="F79" i="11"/>
  <c r="E79" i="11"/>
  <c r="D79" i="11"/>
  <c r="H78" i="11"/>
  <c r="D78" i="11"/>
  <c r="E78" i="11" s="1"/>
  <c r="H77" i="11"/>
  <c r="G77" i="11"/>
  <c r="D77" i="11"/>
  <c r="F77" i="11" s="1"/>
  <c r="H76" i="11"/>
  <c r="D76" i="11"/>
  <c r="G76" i="11" s="1"/>
  <c r="H75" i="11"/>
  <c r="G75" i="11"/>
  <c r="F75" i="11"/>
  <c r="E75" i="11"/>
  <c r="D75" i="11"/>
  <c r="H74" i="11"/>
  <c r="G74" i="11"/>
  <c r="F74" i="11"/>
  <c r="E74" i="11"/>
  <c r="D74" i="11"/>
  <c r="H73" i="11"/>
  <c r="G73" i="11"/>
  <c r="E73" i="11"/>
  <c r="D73" i="11"/>
  <c r="F73" i="11" s="1"/>
  <c r="H72" i="11"/>
  <c r="G72" i="11"/>
  <c r="F72" i="11"/>
  <c r="E72" i="11"/>
  <c r="D72" i="11"/>
  <c r="H71" i="11"/>
  <c r="D71" i="11"/>
  <c r="G71" i="11" s="1"/>
  <c r="H70" i="11"/>
  <c r="D70" i="11"/>
  <c r="E70" i="11" s="1"/>
  <c r="H69" i="11"/>
  <c r="F69" i="11"/>
  <c r="E69" i="11"/>
  <c r="D69" i="11"/>
  <c r="G69" i="11" s="1"/>
  <c r="H68" i="11"/>
  <c r="E68" i="11"/>
  <c r="D68" i="11"/>
  <c r="G68" i="11" s="1"/>
  <c r="H67" i="11"/>
  <c r="G67" i="11"/>
  <c r="F67" i="11"/>
  <c r="E67" i="11"/>
  <c r="D67" i="11"/>
  <c r="H66" i="11"/>
  <c r="D66" i="11"/>
  <c r="G66" i="11" s="1"/>
  <c r="H65" i="11"/>
  <c r="G65" i="11"/>
  <c r="E65" i="11"/>
  <c r="D65" i="11"/>
  <c r="F65" i="11" s="1"/>
  <c r="H64" i="11"/>
  <c r="D64" i="11"/>
  <c r="G64" i="11" s="1"/>
  <c r="H63" i="11"/>
  <c r="E63" i="11"/>
  <c r="D63" i="11"/>
  <c r="G63" i="11" s="1"/>
  <c r="H62" i="11"/>
  <c r="G62" i="11"/>
  <c r="F62" i="11"/>
  <c r="D62" i="11"/>
  <c r="E62" i="11" s="1"/>
  <c r="H61" i="11"/>
  <c r="F61" i="11"/>
  <c r="E61" i="11"/>
  <c r="D61" i="11"/>
  <c r="G61" i="11" s="1"/>
  <c r="H60" i="11"/>
  <c r="F60" i="11"/>
  <c r="E60" i="11"/>
  <c r="D60" i="11"/>
  <c r="G60" i="11" s="1"/>
  <c r="H59" i="11"/>
  <c r="G59" i="11"/>
  <c r="F59" i="11"/>
  <c r="E59" i="11"/>
  <c r="D59" i="11"/>
  <c r="H58" i="11"/>
  <c r="G58" i="11"/>
  <c r="D58" i="11"/>
  <c r="F58" i="11" s="1"/>
  <c r="H57" i="11"/>
  <c r="D57" i="11"/>
  <c r="F57" i="11" s="1"/>
  <c r="H56" i="11"/>
  <c r="E56" i="11"/>
  <c r="D56" i="11"/>
  <c r="G56" i="11" s="1"/>
  <c r="H55" i="11"/>
  <c r="G55" i="11"/>
  <c r="F55" i="11"/>
  <c r="E55" i="11"/>
  <c r="D55" i="11"/>
  <c r="H54" i="11"/>
  <c r="G54" i="11"/>
  <c r="F54" i="11"/>
  <c r="D54" i="11"/>
  <c r="E54" i="11" s="1"/>
  <c r="H53" i="11"/>
  <c r="G53" i="11"/>
  <c r="F53" i="11"/>
  <c r="E53" i="11"/>
  <c r="D53" i="11"/>
  <c r="H52" i="11"/>
  <c r="D52" i="11"/>
  <c r="G52" i="11" s="1"/>
  <c r="H51" i="11"/>
  <c r="G51" i="11"/>
  <c r="F51" i="11"/>
  <c r="E51" i="11"/>
  <c r="D51" i="11"/>
  <c r="H50" i="11"/>
  <c r="F50" i="11"/>
  <c r="E50" i="11"/>
  <c r="D50" i="11"/>
  <c r="G50" i="11" s="1"/>
  <c r="H49" i="11"/>
  <c r="E49" i="11"/>
  <c r="D49" i="11"/>
  <c r="F49" i="11" s="1"/>
  <c r="H48" i="11"/>
  <c r="G48" i="11"/>
  <c r="F48" i="11"/>
  <c r="E48" i="11"/>
  <c r="D48" i="11"/>
  <c r="H47" i="11"/>
  <c r="D47" i="11"/>
  <c r="G47" i="11" s="1"/>
  <c r="H46" i="11"/>
  <c r="G46" i="11"/>
  <c r="F46" i="11"/>
  <c r="D46" i="11"/>
  <c r="E46" i="11" s="1"/>
  <c r="H45" i="11"/>
  <c r="D45" i="11"/>
  <c r="G45" i="11" s="1"/>
  <c r="H44" i="11"/>
  <c r="D44" i="11"/>
  <c r="G44" i="11" s="1"/>
  <c r="H43" i="11"/>
  <c r="G43" i="11"/>
  <c r="F43" i="11"/>
  <c r="E43" i="11"/>
  <c r="D43" i="11"/>
  <c r="H42" i="11"/>
  <c r="F42" i="11"/>
  <c r="E42" i="11"/>
  <c r="D42" i="11"/>
  <c r="G42" i="11" s="1"/>
  <c r="H41" i="11"/>
  <c r="G41" i="11"/>
  <c r="E41" i="11"/>
  <c r="D41" i="11"/>
  <c r="F41" i="11" s="1"/>
  <c r="H40" i="11"/>
  <c r="D40" i="11"/>
  <c r="G40" i="11" s="1"/>
  <c r="H39" i="11"/>
  <c r="G39" i="11"/>
  <c r="D39" i="11"/>
  <c r="F39" i="11" s="1"/>
  <c r="H38" i="11"/>
  <c r="F38" i="11"/>
  <c r="E38" i="11"/>
  <c r="D38" i="11"/>
  <c r="G38" i="11" s="1"/>
  <c r="H37" i="11"/>
  <c r="F37" i="11"/>
  <c r="E37" i="11"/>
  <c r="D37" i="11"/>
  <c r="G37" i="11" s="1"/>
  <c r="H36" i="11"/>
  <c r="G36" i="11"/>
  <c r="F36" i="11"/>
  <c r="E36" i="11"/>
  <c r="D36" i="11"/>
  <c r="H35" i="11"/>
  <c r="D35" i="11"/>
  <c r="G35" i="11" s="1"/>
  <c r="H34" i="11"/>
  <c r="E34" i="11"/>
  <c r="D34" i="11"/>
  <c r="G34" i="11" s="1"/>
  <c r="H33" i="11"/>
  <c r="G33" i="11"/>
  <c r="F33" i="11"/>
  <c r="E33" i="11"/>
  <c r="D33" i="11"/>
  <c r="H32" i="11"/>
  <c r="D32" i="11"/>
  <c r="G32" i="11" s="1"/>
  <c r="H31" i="11"/>
  <c r="G31" i="11"/>
  <c r="D31" i="11"/>
  <c r="F31" i="11" s="1"/>
  <c r="H30" i="11"/>
  <c r="E30" i="11"/>
  <c r="D30" i="11"/>
  <c r="F30" i="11" s="1"/>
  <c r="H29" i="11"/>
  <c r="F29" i="11"/>
  <c r="E29" i="11"/>
  <c r="D29" i="11"/>
  <c r="G29" i="11" s="1"/>
  <c r="H28" i="11"/>
  <c r="G28" i="11"/>
  <c r="F28" i="11"/>
  <c r="E28" i="11"/>
  <c r="D28" i="11"/>
  <c r="H27" i="11"/>
  <c r="D27" i="11"/>
  <c r="G27" i="11" s="1"/>
  <c r="H26" i="11"/>
  <c r="E26" i="11"/>
  <c r="D26" i="11"/>
  <c r="G26" i="11" s="1"/>
  <c r="H25" i="11"/>
  <c r="G25" i="11"/>
  <c r="F25" i="11"/>
  <c r="E25" i="11"/>
  <c r="D25" i="11"/>
  <c r="H24" i="11"/>
  <c r="D24" i="11"/>
  <c r="G24" i="11" s="1"/>
  <c r="H23" i="11"/>
  <c r="G23" i="11"/>
  <c r="D23" i="11"/>
  <c r="F23" i="11" s="1"/>
  <c r="H22" i="11"/>
  <c r="E22" i="11"/>
  <c r="D22" i="11"/>
  <c r="G22" i="11" s="1"/>
  <c r="H21" i="11"/>
  <c r="F21" i="11"/>
  <c r="E21" i="11"/>
  <c r="D21" i="11"/>
  <c r="G21" i="11" s="1"/>
  <c r="H20" i="11"/>
  <c r="G20" i="11"/>
  <c r="F20" i="11"/>
  <c r="E20" i="11"/>
  <c r="D20" i="11"/>
  <c r="H19" i="11"/>
  <c r="D19" i="11"/>
  <c r="G19" i="11" s="1"/>
  <c r="H18" i="11"/>
  <c r="E18" i="11"/>
  <c r="D18" i="11"/>
  <c r="G18" i="11" s="1"/>
  <c r="H17" i="11"/>
  <c r="G17" i="11"/>
  <c r="F17" i="11"/>
  <c r="E17" i="11"/>
  <c r="D17" i="11"/>
  <c r="H16" i="11"/>
  <c r="D16" i="11"/>
  <c r="G16" i="11" s="1"/>
  <c r="H15" i="11"/>
  <c r="G15" i="11"/>
  <c r="D15" i="11"/>
  <c r="F15" i="11" s="1"/>
  <c r="H14" i="11"/>
  <c r="E14" i="11"/>
  <c r="D14" i="11"/>
  <c r="F14" i="11" s="1"/>
  <c r="H13" i="11"/>
  <c r="F13" i="11"/>
  <c r="E13" i="11"/>
  <c r="D13" i="11"/>
  <c r="G13" i="11" s="1"/>
  <c r="H12" i="11"/>
  <c r="G12" i="11"/>
  <c r="F12" i="11"/>
  <c r="E12" i="11"/>
  <c r="D12" i="11"/>
  <c r="H11" i="11"/>
  <c r="D11" i="11"/>
  <c r="E11" i="11" s="1"/>
  <c r="H10" i="11"/>
  <c r="E10" i="11"/>
  <c r="D10" i="11"/>
  <c r="G10" i="11" s="1"/>
  <c r="H9" i="11"/>
  <c r="G9" i="11"/>
  <c r="F9" i="11"/>
  <c r="E9" i="11"/>
  <c r="D9" i="11"/>
  <c r="H8" i="11"/>
  <c r="D8" i="11"/>
  <c r="G8" i="11" s="1"/>
  <c r="H7" i="11"/>
  <c r="G7" i="11"/>
  <c r="D7" i="11"/>
  <c r="F7" i="11" s="1"/>
  <c r="H6" i="11"/>
  <c r="E6" i="11"/>
  <c r="D6" i="11"/>
  <c r="F6" i="11" s="1"/>
  <c r="H5" i="11"/>
  <c r="F5" i="11"/>
  <c r="E5" i="11"/>
  <c r="D5" i="11"/>
  <c r="G5" i="11" s="1"/>
  <c r="G108" i="11" l="1"/>
  <c r="E108" i="11"/>
  <c r="F172" i="11"/>
  <c r="G172" i="11"/>
  <c r="E172" i="11"/>
  <c r="E19" i="11"/>
  <c r="F22" i="11"/>
  <c r="E27" i="11"/>
  <c r="E57" i="11"/>
  <c r="E64" i="11"/>
  <c r="F108" i="11"/>
  <c r="F110" i="11"/>
  <c r="E112" i="11"/>
  <c r="E160" i="11"/>
  <c r="E162" i="11"/>
  <c r="G164" i="11"/>
  <c r="F164" i="11"/>
  <c r="E164" i="11"/>
  <c r="F213" i="11"/>
  <c r="G215" i="11"/>
  <c r="F215" i="11"/>
  <c r="E217" i="11"/>
  <c r="G217" i="11"/>
  <c r="F217" i="11"/>
  <c r="F244" i="11"/>
  <c r="G244" i="11"/>
  <c r="F259" i="11"/>
  <c r="G259" i="11"/>
  <c r="E259" i="11"/>
  <c r="G320" i="11"/>
  <c r="E320" i="11"/>
  <c r="G364" i="11"/>
  <c r="F364" i="11"/>
  <c r="E364" i="11"/>
  <c r="G486" i="11"/>
  <c r="F486" i="11"/>
  <c r="E486" i="11"/>
  <c r="G6" i="11"/>
  <c r="E8" i="11"/>
  <c r="F11" i="11"/>
  <c r="H582" i="11" s="1"/>
  <c r="G14" i="11"/>
  <c r="E16" i="11"/>
  <c r="F19" i="11"/>
  <c r="E24" i="11"/>
  <c r="F27" i="11"/>
  <c r="G30" i="11"/>
  <c r="E32" i="11"/>
  <c r="F35" i="11"/>
  <c r="E40" i="11"/>
  <c r="F45" i="11"/>
  <c r="E47" i="11"/>
  <c r="E52" i="11"/>
  <c r="G57" i="11"/>
  <c r="F64" i="11"/>
  <c r="E66" i="11"/>
  <c r="F71" i="11"/>
  <c r="F76" i="11"/>
  <c r="F78" i="11"/>
  <c r="E85" i="11"/>
  <c r="F90" i="11"/>
  <c r="E101" i="11"/>
  <c r="G110" i="11"/>
  <c r="F112" i="11"/>
  <c r="E114" i="11"/>
  <c r="G116" i="11"/>
  <c r="E116" i="11"/>
  <c r="E152" i="11"/>
  <c r="E154" i="11"/>
  <c r="G156" i="11"/>
  <c r="F156" i="11"/>
  <c r="E156" i="11"/>
  <c r="F160" i="11"/>
  <c r="F162" i="11"/>
  <c r="F185" i="11"/>
  <c r="E194" i="11"/>
  <c r="F196" i="11"/>
  <c r="G196" i="11"/>
  <c r="E204" i="11"/>
  <c r="G213" i="11"/>
  <c r="E215" i="11"/>
  <c r="G224" i="11"/>
  <c r="F224" i="11"/>
  <c r="E224" i="11"/>
  <c r="G229" i="11"/>
  <c r="F229" i="11"/>
  <c r="E244" i="11"/>
  <c r="E297" i="11"/>
  <c r="G297" i="11"/>
  <c r="F297" i="11"/>
  <c r="F320" i="11"/>
  <c r="G191" i="11"/>
  <c r="F191" i="11"/>
  <c r="E191" i="11"/>
  <c r="E313" i="11"/>
  <c r="G313" i="11"/>
  <c r="E35" i="11"/>
  <c r="E45" i="11"/>
  <c r="E71" i="11"/>
  <c r="E76" i="11"/>
  <c r="E90" i="11"/>
  <c r="F8" i="11"/>
  <c r="G11" i="11"/>
  <c r="F16" i="11"/>
  <c r="F24" i="11"/>
  <c r="F32" i="11"/>
  <c r="F40" i="11"/>
  <c r="F47" i="11"/>
  <c r="F52" i="11"/>
  <c r="F66" i="11"/>
  <c r="G78" i="11"/>
  <c r="F85" i="11"/>
  <c r="F101" i="11"/>
  <c r="F114" i="11"/>
  <c r="G148" i="11"/>
  <c r="F148" i="11"/>
  <c r="E148" i="11"/>
  <c r="F152" i="11"/>
  <c r="F154" i="11"/>
  <c r="G185" i="11"/>
  <c r="F194" i="11"/>
  <c r="G204" i="11"/>
  <c r="F267" i="11"/>
  <c r="G267" i="11"/>
  <c r="F307" i="11"/>
  <c r="E307" i="11"/>
  <c r="F314" i="11"/>
  <c r="E314" i="11"/>
  <c r="G314" i="11"/>
  <c r="E345" i="11"/>
  <c r="G345" i="11"/>
  <c r="G386" i="11"/>
  <c r="F386" i="11"/>
  <c r="E386" i="11"/>
  <c r="E391" i="11"/>
  <c r="G391" i="11"/>
  <c r="G393" i="11"/>
  <c r="F393" i="11"/>
  <c r="E393" i="11"/>
  <c r="F266" i="11"/>
  <c r="E266" i="11"/>
  <c r="G296" i="11"/>
  <c r="E296" i="11"/>
  <c r="F296" i="11"/>
  <c r="G508" i="11"/>
  <c r="E508" i="11"/>
  <c r="F508" i="11"/>
  <c r="G124" i="11"/>
  <c r="F124" i="11"/>
  <c r="E124" i="11"/>
  <c r="G179" i="11"/>
  <c r="F179" i="11"/>
  <c r="E179" i="11"/>
  <c r="E225" i="11"/>
  <c r="F225" i="11"/>
  <c r="F236" i="11"/>
  <c r="G236" i="11"/>
  <c r="E236" i="11"/>
  <c r="F245" i="11"/>
  <c r="G245" i="11"/>
  <c r="E245" i="11"/>
  <c r="E250" i="11"/>
  <c r="F250" i="11"/>
  <c r="G264" i="11"/>
  <c r="E264" i="11"/>
  <c r="F264" i="11"/>
  <c r="E281" i="11"/>
  <c r="G281" i="11"/>
  <c r="F298" i="11"/>
  <c r="E298" i="11"/>
  <c r="E482" i="11"/>
  <c r="G482" i="11"/>
  <c r="F482" i="11"/>
  <c r="G550" i="11"/>
  <c r="F550" i="11"/>
  <c r="E550" i="11"/>
  <c r="G566" i="11"/>
  <c r="F566" i="11"/>
  <c r="E566" i="11"/>
  <c r="E7" i="11"/>
  <c r="H583" i="11" s="1"/>
  <c r="F10" i="11"/>
  <c r="E15" i="11"/>
  <c r="F18" i="11"/>
  <c r="E23" i="11"/>
  <c r="F26" i="11"/>
  <c r="E31" i="11"/>
  <c r="F34" i="11"/>
  <c r="E39" i="11"/>
  <c r="E44" i="11"/>
  <c r="G49" i="11"/>
  <c r="F56" i="11"/>
  <c r="E58" i="11"/>
  <c r="F63" i="11"/>
  <c r="F68" i="11"/>
  <c r="F70" i="11"/>
  <c r="E77" i="11"/>
  <c r="F82" i="11"/>
  <c r="E89" i="11"/>
  <c r="G94" i="11"/>
  <c r="E96" i="11"/>
  <c r="F109" i="11"/>
  <c r="E111" i="11"/>
  <c r="F122" i="11"/>
  <c r="F130" i="11"/>
  <c r="F138" i="11"/>
  <c r="E157" i="11"/>
  <c r="G159" i="11"/>
  <c r="F159" i="11"/>
  <c r="F165" i="11"/>
  <c r="E175" i="11"/>
  <c r="G186" i="11"/>
  <c r="F186" i="11"/>
  <c r="E186" i="11"/>
  <c r="G205" i="11"/>
  <c r="F205" i="11"/>
  <c r="E205" i="11"/>
  <c r="G218" i="11"/>
  <c r="G225" i="11"/>
  <c r="F232" i="11"/>
  <c r="G250" i="11"/>
  <c r="F281" i="11"/>
  <c r="G288" i="11"/>
  <c r="E288" i="11"/>
  <c r="G298" i="11"/>
  <c r="F330" i="11"/>
  <c r="E330" i="11"/>
  <c r="G132" i="11"/>
  <c r="F132" i="11"/>
  <c r="E132" i="11"/>
  <c r="G140" i="11"/>
  <c r="F140" i="11"/>
  <c r="E140" i="11"/>
  <c r="G167" i="11"/>
  <c r="F167" i="11"/>
  <c r="E177" i="11"/>
  <c r="G177" i="11"/>
  <c r="G328" i="11"/>
  <c r="E328" i="11"/>
  <c r="F328" i="11"/>
  <c r="H584" i="11"/>
  <c r="F44" i="11"/>
  <c r="G70" i="11"/>
  <c r="G89" i="11"/>
  <c r="G100" i="11"/>
  <c r="E100" i="11"/>
  <c r="G111" i="11"/>
  <c r="G151" i="11"/>
  <c r="F151" i="11"/>
  <c r="F157" i="11"/>
  <c r="F175" i="11"/>
  <c r="G184" i="11"/>
  <c r="F184" i="11"/>
  <c r="G203" i="11"/>
  <c r="F203" i="11"/>
  <c r="G232" i="11"/>
  <c r="G243" i="11"/>
  <c r="F243" i="11"/>
  <c r="E265" i="11"/>
  <c r="G265" i="11"/>
  <c r="F265" i="11"/>
  <c r="F288" i="11"/>
  <c r="E329" i="11"/>
  <c r="G329" i="11"/>
  <c r="F329" i="11"/>
  <c r="F346" i="11"/>
  <c r="E346" i="11"/>
  <c r="G346" i="11"/>
  <c r="G127" i="11"/>
  <c r="F127" i="11"/>
  <c r="G135" i="11"/>
  <c r="F135" i="11"/>
  <c r="G143" i="11"/>
  <c r="F143" i="11"/>
  <c r="G210" i="11"/>
  <c r="F210" i="11"/>
  <c r="G223" i="11"/>
  <c r="F223" i="11"/>
  <c r="E241" i="11"/>
  <c r="G241" i="11"/>
  <c r="G248" i="11"/>
  <c r="E248" i="11"/>
  <c r="F258" i="11"/>
  <c r="E258" i="11"/>
  <c r="G258" i="11"/>
  <c r="F275" i="11"/>
  <c r="E275" i="11"/>
  <c r="F282" i="11"/>
  <c r="E282" i="11"/>
  <c r="G282" i="11"/>
  <c r="F299" i="11"/>
  <c r="G299" i="11"/>
  <c r="F339" i="11"/>
  <c r="G339" i="11"/>
  <c r="E339" i="11"/>
  <c r="F382" i="11"/>
  <c r="E382" i="11"/>
  <c r="G382" i="11"/>
  <c r="G256" i="11"/>
  <c r="E256" i="11"/>
  <c r="F290" i="11"/>
  <c r="E290" i="11"/>
  <c r="F322" i="11"/>
  <c r="E322" i="11"/>
  <c r="F354" i="11"/>
  <c r="E354" i="11"/>
  <c r="G502" i="11"/>
  <c r="F502" i="11"/>
  <c r="E502" i="11"/>
  <c r="G572" i="11"/>
  <c r="E572" i="11"/>
  <c r="F572" i="11"/>
  <c r="G352" i="11"/>
  <c r="E352" i="11"/>
  <c r="G357" i="11"/>
  <c r="E357" i="11"/>
  <c r="G280" i="11"/>
  <c r="E280" i="11"/>
  <c r="G312" i="11"/>
  <c r="E312" i="11"/>
  <c r="G331" i="11"/>
  <c r="G344" i="11"/>
  <c r="E344" i="11"/>
  <c r="E355" i="11"/>
  <c r="G355" i="11"/>
  <c r="G369" i="11"/>
  <c r="F369" i="11"/>
  <c r="E369" i="11"/>
  <c r="F469" i="11"/>
  <c r="E469" i="11"/>
  <c r="F478" i="11"/>
  <c r="E478" i="11"/>
  <c r="G478" i="11"/>
  <c r="E145" i="11"/>
  <c r="E153" i="11"/>
  <c r="E161" i="11"/>
  <c r="E169" i="11"/>
  <c r="E181" i="11"/>
  <c r="F193" i="11"/>
  <c r="E200" i="11"/>
  <c r="E212" i="11"/>
  <c r="E219" i="11"/>
  <c r="E226" i="11"/>
  <c r="E231" i="11"/>
  <c r="F249" i="11"/>
  <c r="E251" i="11"/>
  <c r="F257" i="11"/>
  <c r="F274" i="11"/>
  <c r="E274" i="11"/>
  <c r="F280" i="11"/>
  <c r="E291" i="11"/>
  <c r="F306" i="11"/>
  <c r="E306" i="11"/>
  <c r="F312" i="11"/>
  <c r="E323" i="11"/>
  <c r="F338" i="11"/>
  <c r="E338" i="11"/>
  <c r="F344" i="11"/>
  <c r="F355" i="11"/>
  <c r="F358" i="11"/>
  <c r="E358" i="11"/>
  <c r="G362" i="11"/>
  <c r="F362" i="11"/>
  <c r="G380" i="11"/>
  <c r="F380" i="11"/>
  <c r="G385" i="11"/>
  <c r="F385" i="11"/>
  <c r="E385" i="11"/>
  <c r="G469" i="11"/>
  <c r="E188" i="11"/>
  <c r="G193" i="11"/>
  <c r="E207" i="11"/>
  <c r="G212" i="11"/>
  <c r="F231" i="11"/>
  <c r="F233" i="11"/>
  <c r="G249" i="11"/>
  <c r="G257" i="11"/>
  <c r="G272" i="11"/>
  <c r="E272" i="11"/>
  <c r="G274" i="11"/>
  <c r="F289" i="11"/>
  <c r="G291" i="11"/>
  <c r="G304" i="11"/>
  <c r="E304" i="11"/>
  <c r="G306" i="11"/>
  <c r="F321" i="11"/>
  <c r="G323" i="11"/>
  <c r="G336" i="11"/>
  <c r="E336" i="11"/>
  <c r="G338" i="11"/>
  <c r="F353" i="11"/>
  <c r="G358" i="11"/>
  <c r="E362" i="11"/>
  <c r="F365" i="11"/>
  <c r="G372" i="11"/>
  <c r="E372" i="11"/>
  <c r="E380" i="11"/>
  <c r="G524" i="11"/>
  <c r="E524" i="11"/>
  <c r="F524" i="11"/>
  <c r="G271" i="11"/>
  <c r="G279" i="11"/>
  <c r="G287" i="11"/>
  <c r="G295" i="11"/>
  <c r="G303" i="11"/>
  <c r="G311" i="11"/>
  <c r="G319" i="11"/>
  <c r="G327" i="11"/>
  <c r="G335" i="11"/>
  <c r="G343" i="11"/>
  <c r="G351" i="11"/>
  <c r="G356" i="11"/>
  <c r="G363" i="11"/>
  <c r="F374" i="11"/>
  <c r="E374" i="11"/>
  <c r="G381" i="11"/>
  <c r="G383" i="11"/>
  <c r="G484" i="11"/>
  <c r="E484" i="11"/>
  <c r="E506" i="11"/>
  <c r="G506" i="11"/>
  <c r="G526" i="11"/>
  <c r="F526" i="11"/>
  <c r="E526" i="11"/>
  <c r="G548" i="11"/>
  <c r="E548" i="11"/>
  <c r="G476" i="11"/>
  <c r="E476" i="11"/>
  <c r="G500" i="11"/>
  <c r="E500" i="11"/>
  <c r="E522" i="11"/>
  <c r="G522" i="11"/>
  <c r="G542" i="11"/>
  <c r="F542" i="11"/>
  <c r="E542" i="11"/>
  <c r="G564" i="11"/>
  <c r="E564" i="11"/>
  <c r="F470" i="11"/>
  <c r="E470" i="11"/>
  <c r="E474" i="11"/>
  <c r="G474" i="11"/>
  <c r="F476" i="11"/>
  <c r="E498" i="11"/>
  <c r="G498" i="11"/>
  <c r="F500" i="11"/>
  <c r="G518" i="11"/>
  <c r="F518" i="11"/>
  <c r="E518" i="11"/>
  <c r="F522" i="11"/>
  <c r="G540" i="11"/>
  <c r="E540" i="11"/>
  <c r="F564" i="11"/>
  <c r="F390" i="11"/>
  <c r="E390" i="11"/>
  <c r="G468" i="11"/>
  <c r="E468" i="11"/>
  <c r="G494" i="11"/>
  <c r="F494" i="11"/>
  <c r="E494" i="11"/>
  <c r="G516" i="11"/>
  <c r="E516" i="11"/>
  <c r="G558" i="11"/>
  <c r="F558" i="11"/>
  <c r="E558" i="11"/>
  <c r="G580" i="11"/>
  <c r="E580" i="11"/>
  <c r="E366" i="11"/>
  <c r="G377" i="11"/>
  <c r="F377" i="11"/>
  <c r="G390" i="11"/>
  <c r="E394" i="11"/>
  <c r="G396" i="11"/>
  <c r="E396" i="11"/>
  <c r="F398" i="11"/>
  <c r="E398" i="11"/>
  <c r="G404" i="11"/>
  <c r="E404" i="11"/>
  <c r="F406" i="11"/>
  <c r="E406" i="11"/>
  <c r="G412" i="11"/>
  <c r="E412" i="11"/>
  <c r="F414" i="11"/>
  <c r="E414" i="11"/>
  <c r="G420" i="11"/>
  <c r="E420" i="11"/>
  <c r="F422" i="11"/>
  <c r="E422" i="11"/>
  <c r="G428" i="11"/>
  <c r="E428" i="11"/>
  <c r="F430" i="11"/>
  <c r="E430" i="11"/>
  <c r="G436" i="11"/>
  <c r="E436" i="11"/>
  <c r="F438" i="11"/>
  <c r="E438" i="11"/>
  <c r="G444" i="11"/>
  <c r="E444" i="11"/>
  <c r="F446" i="11"/>
  <c r="E446" i="11"/>
  <c r="G452" i="11"/>
  <c r="E452" i="11"/>
  <c r="F454" i="11"/>
  <c r="E454" i="11"/>
  <c r="G460" i="11"/>
  <c r="E460" i="11"/>
  <c r="F462" i="11"/>
  <c r="E462" i="11"/>
  <c r="E466" i="11"/>
  <c r="G466" i="11"/>
  <c r="F468" i="11"/>
  <c r="G492" i="11"/>
  <c r="E492" i="11"/>
  <c r="E514" i="11"/>
  <c r="G514" i="11"/>
  <c r="F516" i="11"/>
  <c r="G534" i="11"/>
  <c r="F534" i="11"/>
  <c r="E534" i="11"/>
  <c r="G556" i="11"/>
  <c r="E556" i="11"/>
  <c r="F580" i="11"/>
  <c r="E361" i="11"/>
  <c r="G366" i="11"/>
  <c r="E377" i="11"/>
  <c r="F396" i="11"/>
  <c r="G398" i="11"/>
  <c r="E402" i="11"/>
  <c r="F404" i="11"/>
  <c r="G406" i="11"/>
  <c r="E410" i="11"/>
  <c r="F412" i="11"/>
  <c r="G414" i="11"/>
  <c r="E418" i="11"/>
  <c r="F420" i="11"/>
  <c r="G422" i="11"/>
  <c r="E426" i="11"/>
  <c r="F428" i="11"/>
  <c r="G430" i="11"/>
  <c r="E490" i="11"/>
  <c r="G490" i="11"/>
  <c r="G510" i="11"/>
  <c r="F510" i="11"/>
  <c r="E510" i="11"/>
  <c r="G532" i="11"/>
  <c r="E532" i="11"/>
  <c r="F556" i="11"/>
  <c r="G574" i="11"/>
  <c r="F574" i="11"/>
  <c r="E574" i="11"/>
  <c r="G530" i="11"/>
  <c r="G538" i="11"/>
  <c r="G546" i="11"/>
  <c r="G554" i="11"/>
  <c r="G562" i="11"/>
  <c r="G570" i="11"/>
  <c r="G578" i="11"/>
  <c r="F9" i="2" l="1"/>
  <c r="G9" i="2" s="1"/>
  <c r="H9" i="2" s="1"/>
  <c r="I9" i="2" s="1"/>
  <c r="F15" i="2"/>
  <c r="G15" i="2" s="1"/>
  <c r="H15" i="2" s="1"/>
  <c r="I15" i="2" s="1"/>
  <c r="F35" i="2"/>
  <c r="G35" i="2" s="1"/>
  <c r="H35" i="2" s="1"/>
  <c r="I35" i="2" s="1"/>
  <c r="E10" i="2"/>
  <c r="F5" i="2"/>
  <c r="G5" i="2" s="1"/>
  <c r="H5" i="2" s="1"/>
  <c r="I5" i="2" s="1"/>
  <c r="F4" i="2"/>
  <c r="G4" i="2" s="1"/>
  <c r="E6" i="2"/>
  <c r="E11" i="2" s="1"/>
  <c r="F2" i="2"/>
  <c r="G2" i="2" s="1"/>
  <c r="H2" i="2" s="1"/>
  <c r="I2" i="2" s="1"/>
  <c r="E19" i="2" l="1"/>
  <c r="E12" i="2"/>
  <c r="G10" i="2"/>
  <c r="F10" i="2"/>
  <c r="E14" i="2"/>
  <c r="E16" i="2" s="1"/>
  <c r="G6" i="2"/>
  <c r="G19" i="2" s="1"/>
  <c r="F6" i="2"/>
  <c r="F19" i="2" s="1"/>
  <c r="H4" i="2"/>
  <c r="H10" i="2" s="1"/>
  <c r="E17" i="2" l="1"/>
  <c r="E20" i="2"/>
  <c r="G14" i="2"/>
  <c r="G11" i="2"/>
  <c r="F7" i="2"/>
  <c r="F14" i="2"/>
  <c r="F11" i="2"/>
  <c r="G7" i="2"/>
  <c r="I4" i="2"/>
  <c r="I10" i="2" s="1"/>
  <c r="H6" i="2"/>
  <c r="H19" i="2" s="1"/>
  <c r="E24" i="2" l="1"/>
  <c r="E21" i="2"/>
  <c r="H7" i="2"/>
  <c r="H14" i="2"/>
  <c r="H11" i="2"/>
  <c r="F16" i="2"/>
  <c r="F12" i="2"/>
  <c r="G16" i="2"/>
  <c r="G12" i="2"/>
  <c r="I6" i="2"/>
  <c r="I19" i="2" s="1"/>
  <c r="F17" i="2" l="1"/>
  <c r="F20" i="2"/>
  <c r="E26" i="2"/>
  <c r="E27" i="2" s="1"/>
  <c r="E28" i="2" s="1"/>
  <c r="G17" i="2"/>
  <c r="G20" i="2"/>
  <c r="H16" i="2"/>
  <c r="H12" i="2"/>
  <c r="I7" i="2"/>
  <c r="I11" i="2"/>
  <c r="I14" i="2"/>
  <c r="G24" i="2" l="1"/>
  <c r="G21" i="2"/>
  <c r="H17" i="2"/>
  <c r="H20" i="2"/>
  <c r="F24" i="2"/>
  <c r="F21" i="2"/>
  <c r="I16" i="2"/>
  <c r="I12" i="2"/>
  <c r="I17" i="2" l="1"/>
  <c r="I20" i="2"/>
  <c r="G26" i="2"/>
  <c r="G27" i="2" s="1"/>
  <c r="G28" i="2" s="1"/>
  <c r="F26" i="2"/>
  <c r="F27" i="2" s="1"/>
  <c r="F28" i="2" s="1"/>
  <c r="H21" i="2"/>
  <c r="H24" i="2"/>
  <c r="H26" i="2" l="1"/>
  <c r="H27" i="2" s="1"/>
  <c r="H28" i="2" s="1"/>
  <c r="I21" i="2"/>
  <c r="I24" i="2"/>
  <c r="I26" i="2" l="1"/>
  <c r="I27" i="2" s="1"/>
  <c r="I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Lai</author>
  </authors>
  <commentList>
    <comment ref="B16" authorId="0" shapeId="0" xr:uid="{691D09E0-89A2-4BDD-B02F-4A4859AA9721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EBITDA = Earnings before Interest, Taxes, Depreciation, and Amortization
</t>
        </r>
      </text>
    </comment>
    <comment ref="B20" authorId="0" shapeId="0" xr:uid="{F427D67E-AE76-434B-92AA-DCD2AFF773DA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 = Earnings before Interest and Taxes
</t>
        </r>
      </text>
    </comment>
  </commentList>
</comments>
</file>

<file path=xl/sharedStrings.xml><?xml version="1.0" encoding="utf-8"?>
<sst xmlns="http://schemas.openxmlformats.org/spreadsheetml/2006/main" count="620" uniqueCount="616">
  <si>
    <t>Units Sold</t>
  </si>
  <si>
    <t>Price per Unit</t>
  </si>
  <si>
    <t>Revenue</t>
  </si>
  <si>
    <t>Cost per Unit</t>
  </si>
  <si>
    <t>Cost of Goods Sold</t>
  </si>
  <si>
    <t>Gross Profit</t>
  </si>
  <si>
    <t>Gross Profit % of Revenue</t>
  </si>
  <si>
    <t>Selling Expenses</t>
  </si>
  <si>
    <t>General &amp; Administrative Expenses</t>
  </si>
  <si>
    <t>Depreciation &amp; Amortization</t>
  </si>
  <si>
    <t>Interest Expense</t>
  </si>
  <si>
    <t>Income Taxes</t>
  </si>
  <si>
    <t>Net Income</t>
  </si>
  <si>
    <t>EBITDA</t>
  </si>
  <si>
    <t>EBIT</t>
  </si>
  <si>
    <t>Selling Expenses % of Revenue</t>
  </si>
  <si>
    <t>Cost per Unit Growth Rate %</t>
  </si>
  <si>
    <t>Price per Unit Growth Rate %</t>
  </si>
  <si>
    <t>Units Sold Growth Rate %</t>
  </si>
  <si>
    <t>G&amp;A Expenses Growth Rate %</t>
  </si>
  <si>
    <t>Pre-Tax Earnings</t>
  </si>
  <si>
    <t>Effective Tax Rate %</t>
  </si>
  <si>
    <t>EBITDA % of Revenue</t>
  </si>
  <si>
    <t>EBIT % of Revenue</t>
  </si>
  <si>
    <t>Net Income % of Revenue</t>
  </si>
  <si>
    <t>Revenue Growth Rate %</t>
  </si>
  <si>
    <t>Depreciation &amp; Amoritzation % of Revenue</t>
  </si>
  <si>
    <t>Income Statement Assumptions</t>
  </si>
  <si>
    <t xml:space="preserve">n/a  </t>
  </si>
  <si>
    <t>Amount</t>
  </si>
  <si>
    <t>Month</t>
  </si>
  <si>
    <t>Q38</t>
  </si>
  <si>
    <t>Account</t>
  </si>
  <si>
    <t>Automotive Sales 201901</t>
  </si>
  <si>
    <t>Automotive Sales Tooling 201901</t>
  </si>
  <si>
    <t>Bulk Sales 201901</t>
  </si>
  <si>
    <t>Bulk Sales Tooling 201901</t>
  </si>
  <si>
    <t>Consumer Sales 201901</t>
  </si>
  <si>
    <t>Consumer  Sales Tooling 201901</t>
  </si>
  <si>
    <t>Electronics Sales 201901</t>
  </si>
  <si>
    <t>Electronics Sales Tooling 201901</t>
  </si>
  <si>
    <t>Mechanic Sales 201901</t>
  </si>
  <si>
    <t>Mechanic Sales Tooling 201901</t>
  </si>
  <si>
    <t>Non Operating sales201901</t>
  </si>
  <si>
    <t xml:space="preserve">Partner Sales 201901  </t>
  </si>
  <si>
    <t>Partner Sales Tooling 201901</t>
  </si>
  <si>
    <t xml:space="preserve">Sales - Discounts 201901  </t>
  </si>
  <si>
    <t>Sales - Freight Out 201901</t>
  </si>
  <si>
    <t>Sales - Returns 201901</t>
  </si>
  <si>
    <t>Automotive Sales 201902</t>
  </si>
  <si>
    <t>Automotive Sales Tooling 201902</t>
  </si>
  <si>
    <t>Bulk Sales 201902</t>
  </si>
  <si>
    <t>Bulk Sales Tooling 201902</t>
  </si>
  <si>
    <t>Consumer Sales 201902</t>
  </si>
  <si>
    <t>Consumer  Sales Tooling 201902</t>
  </si>
  <si>
    <t>Electronics Sales 201902</t>
  </si>
  <si>
    <t>Electronics Sales Tooling 201902</t>
  </si>
  <si>
    <t>Mechanic Sales 201902</t>
  </si>
  <si>
    <t>Mechanic Sales Tooling 201902</t>
  </si>
  <si>
    <t>Non Operating sales201902</t>
  </si>
  <si>
    <t>Partner Sales 201902</t>
  </si>
  <si>
    <t>Partner Sales Tooling 201902</t>
  </si>
  <si>
    <t>Sales - Discounts 201902</t>
  </si>
  <si>
    <t>Sales - Freight Out 201902</t>
  </si>
  <si>
    <t>Sales - Returns 201902</t>
  </si>
  <si>
    <t>Automotive Sales 201903</t>
  </si>
  <si>
    <t>Automotive Sales Tooling 201903</t>
  </si>
  <si>
    <t>Bulk Sales 201903</t>
  </si>
  <si>
    <t>Bulk Sales Tooling 201903</t>
  </si>
  <si>
    <t>Consumer Sales 201903</t>
  </si>
  <si>
    <t>Consumer  Sales Tooling 201903</t>
  </si>
  <si>
    <t>Electronics Sales 201903</t>
  </si>
  <si>
    <t>Electronics Sales Tooling 201903</t>
  </si>
  <si>
    <t>Mechanic Sales 201903</t>
  </si>
  <si>
    <t>Mechanic Sales Tooling 201903</t>
  </si>
  <si>
    <t>Non Operating sales201903</t>
  </si>
  <si>
    <t>Partner Sales 201903</t>
  </si>
  <si>
    <t>Partner Sales Tooling 201903</t>
  </si>
  <si>
    <t>Sales - Discounts 201903</t>
  </si>
  <si>
    <t>Sales - Freight Out 201903</t>
  </si>
  <si>
    <t>Sales - Returns 201903</t>
  </si>
  <si>
    <t>Automotive Sales 201904</t>
  </si>
  <si>
    <t>Automotive Sales Tooling 201904</t>
  </si>
  <si>
    <t>Bulk Sales 201904</t>
  </si>
  <si>
    <t>Bulk Sales Tooling 201904</t>
  </si>
  <si>
    <t>Consumer Sales 201904</t>
  </si>
  <si>
    <t>Consumer  Sales Tooling 201904</t>
  </si>
  <si>
    <t>Electronics Sales 201904</t>
  </si>
  <si>
    <t>Electronics Sales Tooling 201904</t>
  </si>
  <si>
    <t>Mechanic Sales 201904</t>
  </si>
  <si>
    <t>Mechanic Sales Tooling 201904</t>
  </si>
  <si>
    <t>Non Operating sales201904</t>
  </si>
  <si>
    <t>Partner Sales 201904</t>
  </si>
  <si>
    <t>Partner Sales Tooling 201904</t>
  </si>
  <si>
    <t>Sales - Discounts 201904</t>
  </si>
  <si>
    <t>Sales - Freight Out 201904</t>
  </si>
  <si>
    <t>Sales - Returns 201904</t>
  </si>
  <si>
    <t xml:space="preserve">Automotive Sales 201905  </t>
  </si>
  <si>
    <t>Automotive Sales Tooling 201905</t>
  </si>
  <si>
    <t>Bulk Sales 201905</t>
  </si>
  <si>
    <t>Bulk Sales Tooling 201905</t>
  </si>
  <si>
    <t>Consumer Sales 201905</t>
  </si>
  <si>
    <t>Consumer  Sales Tooling 201905</t>
  </si>
  <si>
    <t>Electronics Sales 201905</t>
  </si>
  <si>
    <t>Electronics Sales Tooling 201905</t>
  </si>
  <si>
    <t>Mechanic Sales 201905</t>
  </si>
  <si>
    <t>Mechanic Sales Tooling 201905</t>
  </si>
  <si>
    <t>Non Operating sales201905</t>
  </si>
  <si>
    <t>Partner Sales 201905</t>
  </si>
  <si>
    <t>Partner Sales Tooling 201905</t>
  </si>
  <si>
    <t>Sales - Discounts 201905</t>
  </si>
  <si>
    <t>Sales - Freight Out 201905</t>
  </si>
  <si>
    <t>Sales - Returns 201905</t>
  </si>
  <si>
    <t>Automotive Sales 201906</t>
  </si>
  <si>
    <t>Automotive Sales Tooling 201906</t>
  </si>
  <si>
    <t>Bulk Sales 201906</t>
  </si>
  <si>
    <t>Bulk Sales Tooling 201906</t>
  </si>
  <si>
    <t>Consumer Sales 201906</t>
  </si>
  <si>
    <t>Consumer  Sales Tooling 201906</t>
  </si>
  <si>
    <t>Electronics Sales 201906</t>
  </si>
  <si>
    <t>Electronics Sales Tooling 201906</t>
  </si>
  <si>
    <t>Mechanic Sales 201906</t>
  </si>
  <si>
    <t>Mechanic Sales Tooling 201906</t>
  </si>
  <si>
    <t>Non Operating sales201906</t>
  </si>
  <si>
    <t>Partner Sales 201906</t>
  </si>
  <si>
    <t>Partner Sales Tooling 201906</t>
  </si>
  <si>
    <t>Sales - Discounts 201906</t>
  </si>
  <si>
    <t>Sales - Freight Out 201906</t>
  </si>
  <si>
    <t>Sales - Returns 201906</t>
  </si>
  <si>
    <t>Automotive Sales 201907</t>
  </si>
  <si>
    <t>Automotive Sales Tooling 201907</t>
  </si>
  <si>
    <t>Bulk Sales 201907</t>
  </si>
  <si>
    <t>Bulk Sales Tooling 201907</t>
  </si>
  <si>
    <t>Consumer Sales 201907</t>
  </si>
  <si>
    <t>Consumer  Sales Tooling 201907</t>
  </si>
  <si>
    <t>Electronics Sales 201907</t>
  </si>
  <si>
    <t>Electronics Sales Tooling 201907</t>
  </si>
  <si>
    <t>Mechanic Sales 201907</t>
  </si>
  <si>
    <t>Mechanic Sales Tooling 201907</t>
  </si>
  <si>
    <t>Non Operating sales201907</t>
  </si>
  <si>
    <t>Partner Sales 201907</t>
  </si>
  <si>
    <t>Partner Sales Tooling 201907</t>
  </si>
  <si>
    <t>Sales - Discounts 201907</t>
  </si>
  <si>
    <t>Sales - Freight Out 201907</t>
  </si>
  <si>
    <t>Sales - Returns 201907</t>
  </si>
  <si>
    <t>Automotive Sales 201908</t>
  </si>
  <si>
    <t>Automotive Sales Tooling 201908</t>
  </si>
  <si>
    <t>Bulk Sales 201908</t>
  </si>
  <si>
    <t>Bulk Sales Tooling 201908</t>
  </si>
  <si>
    <t>Consumer Sales 201908</t>
  </si>
  <si>
    <t>Consumer  Sales Tooling 201908</t>
  </si>
  <si>
    <t>Electronics Sales 201908</t>
  </si>
  <si>
    <t>Electronics Sales Tooling 201908</t>
  </si>
  <si>
    <t>Mechanic Sales 201908</t>
  </si>
  <si>
    <t>Mechanic Sales Tooling 201908</t>
  </si>
  <si>
    <t>Non Operating sales201908</t>
  </si>
  <si>
    <t>Partner Sales 201908</t>
  </si>
  <si>
    <t>Partner Sales Tooling 201908</t>
  </si>
  <si>
    <t>Sales - Discounts 201908</t>
  </si>
  <si>
    <t>Sales - Freight Out 201908</t>
  </si>
  <si>
    <t>Sales - Returns 201908</t>
  </si>
  <si>
    <t>Automotive Sales 201909</t>
  </si>
  <si>
    <t>Automotive Sales Tooling 201909</t>
  </si>
  <si>
    <t>Bulk Sales 201909</t>
  </si>
  <si>
    <t>Bulk Sales Tooling 201909</t>
  </si>
  <si>
    <t>Consumer Sales 201909</t>
  </si>
  <si>
    <t>Consumer  Sales Tooling 201909</t>
  </si>
  <si>
    <t>Electronics Sales 201909</t>
  </si>
  <si>
    <t>Electronics Sales Tooling 201909</t>
  </si>
  <si>
    <t>Mechanic Sales 201909</t>
  </si>
  <si>
    <t>Mechanic Sales Tooling 201909</t>
  </si>
  <si>
    <t>Non Operating sales201909</t>
  </si>
  <si>
    <t xml:space="preserve">Partner Sales 201909  </t>
  </si>
  <si>
    <t>Partner Sales Tooling 201909</t>
  </si>
  <si>
    <t>Sales - Discounts 201909</t>
  </si>
  <si>
    <t>Sales - Freight Out 201909</t>
  </si>
  <si>
    <t>Sales - Returns 201909</t>
  </si>
  <si>
    <t>Automotive Sales 201910</t>
  </si>
  <si>
    <t>Automotive Sales Tooling 201910</t>
  </si>
  <si>
    <t xml:space="preserve">Bulk Sales 201910  </t>
  </si>
  <si>
    <t>Bulk Sales Tooling 201910</t>
  </si>
  <si>
    <t xml:space="preserve">Consumer Sales 201910  </t>
  </si>
  <si>
    <t>Consumer  Sales Tooling 201910</t>
  </si>
  <si>
    <t>Electronics Sales 201910</t>
  </si>
  <si>
    <t>Electronics Sales Tooling 201910</t>
  </si>
  <si>
    <t>Mechanic Sales 201910</t>
  </si>
  <si>
    <t>Mechanic Sales Tooling 201910</t>
  </si>
  <si>
    <t>Non Operating sales201910</t>
  </si>
  <si>
    <t>Partner Sales 201910</t>
  </si>
  <si>
    <t>Partner Sales Tooling 201910</t>
  </si>
  <si>
    <t>Sales - Discounts 201910</t>
  </si>
  <si>
    <t>Sales - Freight Out 201910</t>
  </si>
  <si>
    <t>Sales - Returns 201910</t>
  </si>
  <si>
    <t>Automotive Sales 201911</t>
  </si>
  <si>
    <t>Automotive Sales Tooling 201911</t>
  </si>
  <si>
    <t xml:space="preserve">Bulk Sales 201911  </t>
  </si>
  <si>
    <t>Bulk Sales Tooling 201911</t>
  </si>
  <si>
    <t>Consumer Sales 201911</t>
  </si>
  <si>
    <t>Consumer  Sales Tooling 201911</t>
  </si>
  <si>
    <t>Electronics Sales 201911</t>
  </si>
  <si>
    <t>Electronics Sales Tooling 201911</t>
  </si>
  <si>
    <t>Mechanic Sales 201911</t>
  </si>
  <si>
    <t>Mechanic Sales Tooling 201911</t>
  </si>
  <si>
    <t>Non Operating sales201911</t>
  </si>
  <si>
    <t>Partner Sales 201911</t>
  </si>
  <si>
    <t>Partner Sales Tooling 201911</t>
  </si>
  <si>
    <t>Sales - Discounts 201911</t>
  </si>
  <si>
    <t>Sales - Freight Out 201911</t>
  </si>
  <si>
    <t>Sales - Returns 201911</t>
  </si>
  <si>
    <t>Automotive Sales 201912</t>
  </si>
  <si>
    <t>Automotive Sales Tooling 201912</t>
  </si>
  <si>
    <t>Bulk Sales 201912</t>
  </si>
  <si>
    <t>Bulk Sales Tooling 201912</t>
  </si>
  <si>
    <t>Consumer Sales 201912</t>
  </si>
  <si>
    <t>Consumer  Sales Tooling 201912</t>
  </si>
  <si>
    <t>Electronics Sales 201912</t>
  </si>
  <si>
    <t>Electronics Sales Tooling 201912</t>
  </si>
  <si>
    <t>Mechanic Sales 201912</t>
  </si>
  <si>
    <t>Mechanic Sales Tooling 201912</t>
  </si>
  <si>
    <t>Non Operating sales201912</t>
  </si>
  <si>
    <t>Partner Sales 201912</t>
  </si>
  <si>
    <t>Partner Sales Tooling 201912</t>
  </si>
  <si>
    <t>Sales - Discounts 201912</t>
  </si>
  <si>
    <t>Sales - Freight Out 201912</t>
  </si>
  <si>
    <t>Sales - Returns 201912</t>
  </si>
  <si>
    <t xml:space="preserve">Automotive Sales 201801  </t>
  </si>
  <si>
    <t>Automotive Sales Tooling 201801</t>
  </si>
  <si>
    <t>Bulk Sales 201801</t>
  </si>
  <si>
    <t>Bulk Sales Tooling 201801</t>
  </si>
  <si>
    <t>Consumer Sales 201801</t>
  </si>
  <si>
    <t>Consumer  Sales Tooling 201801</t>
  </si>
  <si>
    <t>Electronics Sales 201801</t>
  </si>
  <si>
    <t>Electronics Sales Tooling 201801</t>
  </si>
  <si>
    <t>Mechanic Sales 201801</t>
  </si>
  <si>
    <t>Mechanic Sales Tooling 201801</t>
  </si>
  <si>
    <t>Non Operating sales201801</t>
  </si>
  <si>
    <t>Partner Sales 201801</t>
  </si>
  <si>
    <t>Partner Sales Tooling 201801</t>
  </si>
  <si>
    <t>Sales - Discounts 201801</t>
  </si>
  <si>
    <t>Sales - Freight Out 201801</t>
  </si>
  <si>
    <t>Sales - Returns 201801</t>
  </si>
  <si>
    <t>Automotive Sales 201802</t>
  </si>
  <si>
    <t>Automotive Sales Tooling 201802</t>
  </si>
  <si>
    <t>Bulk Sales 201802</t>
  </si>
  <si>
    <t>Bulk Sales Tooling 201802</t>
  </si>
  <si>
    <t>Consumer Sales 201802</t>
  </si>
  <si>
    <t>Consumer  Sales Tooling 201802</t>
  </si>
  <si>
    <t>Electronics Sales 201802</t>
  </si>
  <si>
    <t>Electronics Sales Tooling 201802</t>
  </si>
  <si>
    <t>Mechanic Sales 201802</t>
  </si>
  <si>
    <t>Mechanic Sales Tooling 201802</t>
  </si>
  <si>
    <t>Non Operating sales201802</t>
  </si>
  <si>
    <t>Partner Sales 201802</t>
  </si>
  <si>
    <t>Partner Sales Tooling 201802</t>
  </si>
  <si>
    <t>Sales - Discounts 201802</t>
  </si>
  <si>
    <t>Sales - Freight Out 201802</t>
  </si>
  <si>
    <t>Sales - Returns 201802</t>
  </si>
  <si>
    <t>Automotive Sales 201803</t>
  </si>
  <si>
    <t>Automotive Sales Tooling 201803</t>
  </si>
  <si>
    <t>Bulk Sales 201803</t>
  </si>
  <si>
    <t>Bulk Sales Tooling 201803</t>
  </si>
  <si>
    <t>Consumer Sales 201803</t>
  </si>
  <si>
    <t>Consumer  Sales Tooling 201803</t>
  </si>
  <si>
    <t>Electronics Sales 201803</t>
  </si>
  <si>
    <t>Electronics Sales Tooling 201803</t>
  </si>
  <si>
    <t>Mechanic Sales 201803</t>
  </si>
  <si>
    <t>Mechanic Sales Tooling 201803</t>
  </si>
  <si>
    <t>Non Operating sales201803</t>
  </si>
  <si>
    <t>Partner Sales 201803</t>
  </si>
  <si>
    <t>Partner Sales Tooling 201803</t>
  </si>
  <si>
    <t>Sales - Discounts 201803</t>
  </si>
  <si>
    <t>Sales - Freight Out 201803</t>
  </si>
  <si>
    <t xml:space="preserve">Sales - Returns 201803  </t>
  </si>
  <si>
    <t>Automotive Sales 201804</t>
  </si>
  <si>
    <t>Automotive Sales Tooling 201804</t>
  </si>
  <si>
    <t>Bulk Sales 201804</t>
  </si>
  <si>
    <t>Bulk Sales Tooling 201804</t>
  </si>
  <si>
    <t>Consumer Sales 201804</t>
  </si>
  <si>
    <t>Consumer  Sales Tooling 201804</t>
  </si>
  <si>
    <t>Electronics Sales 201804</t>
  </si>
  <si>
    <t>Electronics Sales Tooling 201804</t>
  </si>
  <si>
    <t>Mechanic Sales 201804</t>
  </si>
  <si>
    <t>Mechanic Sales Tooling 201804</t>
  </si>
  <si>
    <t>Non Operating sales201804</t>
  </si>
  <si>
    <t>Partner Sales 201804</t>
  </si>
  <si>
    <t>Partner Sales Tooling 201804</t>
  </si>
  <si>
    <t>Sales - Discounts 201804</t>
  </si>
  <si>
    <t>Sales - Freight Out 201804</t>
  </si>
  <si>
    <t>Sales - Returns 201804</t>
  </si>
  <si>
    <t>Automotive Sales 201805</t>
  </si>
  <si>
    <t>Automotive Sales Tooling 201805</t>
  </si>
  <si>
    <t>Bulk Sales 201805</t>
  </si>
  <si>
    <t>Bulk Sales Tooling 201805</t>
  </si>
  <si>
    <t xml:space="preserve">Consumer Sales 201805  </t>
  </si>
  <si>
    <t>Consumer  Sales Tooling 201805</t>
  </si>
  <si>
    <t>Electronics Sales 201805</t>
  </si>
  <si>
    <t>Electronics Sales Tooling 201805</t>
  </si>
  <si>
    <t>Mechanic Sales 201805</t>
  </si>
  <si>
    <t>Mechanic Sales Tooling 201805</t>
  </si>
  <si>
    <t>Non Operating sales201805</t>
  </si>
  <si>
    <t>Partner Sales 201805</t>
  </si>
  <si>
    <t>Partner Sales Tooling 201805</t>
  </si>
  <si>
    <t>Sales - Discounts 201805</t>
  </si>
  <si>
    <t>Sales - Freight Out 201805</t>
  </si>
  <si>
    <t>Sales - Returns 201805</t>
  </si>
  <si>
    <t>Automotive Sales 201806</t>
  </si>
  <si>
    <t>Automotive Sales Tooling 201806</t>
  </si>
  <si>
    <t>Bulk Sales 201806</t>
  </si>
  <si>
    <t>Bulk Sales Tooling 201806</t>
  </si>
  <si>
    <t>Consumer Sales 201806</t>
  </si>
  <si>
    <t>Consumer  Sales Tooling 201806</t>
  </si>
  <si>
    <t>Electronics Sales 201806</t>
  </si>
  <si>
    <t>Electronics Sales Tooling 201806</t>
  </si>
  <si>
    <t>Mechanic Sales 201806</t>
  </si>
  <si>
    <t>Mechanic Sales Tooling 201806</t>
  </si>
  <si>
    <t>Non Operating sales201806</t>
  </si>
  <si>
    <t>Partner Sales 201806</t>
  </si>
  <si>
    <t>Partner Sales Tooling 201806</t>
  </si>
  <si>
    <t>Sales - Discounts 201806</t>
  </si>
  <si>
    <t>Sales - Freight Out 201806</t>
  </si>
  <si>
    <t>Sales - Returns 201806</t>
  </si>
  <si>
    <t>Automotive Sales 201807</t>
  </si>
  <si>
    <t>Automotive Sales Tooling 201807</t>
  </si>
  <si>
    <t>Bulk Sales 201807</t>
  </si>
  <si>
    <t>Bulk Sales Tooling 201807</t>
  </si>
  <si>
    <t>Consumer Sales 201807</t>
  </si>
  <si>
    <t>Consumer  Sales Tooling 201807</t>
  </si>
  <si>
    <t>Electronics Sales 201807</t>
  </si>
  <si>
    <t>Electronics Sales Tooling 201807</t>
  </si>
  <si>
    <t>Mechanic Sales 201807</t>
  </si>
  <si>
    <t>Mechanic Sales Tooling 201807</t>
  </si>
  <si>
    <t>Non Operating sales201807</t>
  </si>
  <si>
    <t>Partner Sales 201807</t>
  </si>
  <si>
    <t>Partner Sales Tooling 201807</t>
  </si>
  <si>
    <t>Sales - Discounts 201807</t>
  </si>
  <si>
    <t>Sales - Freight Out 201807</t>
  </si>
  <si>
    <t>Sales - Returns 201807</t>
  </si>
  <si>
    <t>Automotive Sales 201808</t>
  </si>
  <si>
    <t>Automotive Sales Tooling 201808</t>
  </si>
  <si>
    <t>Bulk Sales 201808</t>
  </si>
  <si>
    <t>Bulk Sales Tooling 201808</t>
  </si>
  <si>
    <t>Consumer Sales 201808</t>
  </si>
  <si>
    <t>Consumer  Sales Tooling 201808</t>
  </si>
  <si>
    <t>Electronics Sales 201808</t>
  </si>
  <si>
    <t>Electronics Sales Tooling 201808</t>
  </si>
  <si>
    <t>Mechanic Sales 201808</t>
  </si>
  <si>
    <t>Mechanic Sales Tooling 201808</t>
  </si>
  <si>
    <t>Non Operating sales201808</t>
  </si>
  <si>
    <t>Partner Sales 201808</t>
  </si>
  <si>
    <t>Partner Sales Tooling 201808</t>
  </si>
  <si>
    <t>Sales - Discounts 201808</t>
  </si>
  <si>
    <t>Sales - Freight Out 201808</t>
  </si>
  <si>
    <t>Sales - Returns 201808</t>
  </si>
  <si>
    <t>Automotive Sales 201809</t>
  </si>
  <si>
    <t>Automotive Sales Tooling 201809</t>
  </si>
  <si>
    <t>Bulk Sales 201809</t>
  </si>
  <si>
    <t>Bulk Sales Tooling 201809</t>
  </si>
  <si>
    <t>Consumer Sales 201809</t>
  </si>
  <si>
    <t>Consumer  Sales Tooling 201809</t>
  </si>
  <si>
    <t>Electronics Sales 201809</t>
  </si>
  <si>
    <t>Electronics Sales Tooling 201809</t>
  </si>
  <si>
    <t>Mechanic Sales 201809</t>
  </si>
  <si>
    <t>Mechanic Sales Tooling 201809</t>
  </si>
  <si>
    <t>Non Operating sales201809</t>
  </si>
  <si>
    <t>Partner Sales 201809</t>
  </si>
  <si>
    <t>Partner Sales Tooling 201809</t>
  </si>
  <si>
    <t>Sales - Discounts 201809</t>
  </si>
  <si>
    <t>Sales - Freight Out 201809</t>
  </si>
  <si>
    <t>Sales - Returns 201809</t>
  </si>
  <si>
    <t>Automotive Sales 201810</t>
  </si>
  <si>
    <t>Automotive Sales Tooling 201810</t>
  </si>
  <si>
    <t>Bulk Sales 201810</t>
  </si>
  <si>
    <t>Bulk Sales Tooling 201810</t>
  </si>
  <si>
    <t>Consumer Sales 201810</t>
  </si>
  <si>
    <t>Consumer  Sales Tooling 201810</t>
  </si>
  <si>
    <t>Electronics Sales 201810</t>
  </si>
  <si>
    <t>Electronics Sales Tooling 201810</t>
  </si>
  <si>
    <t>Mechanic Sales 201810</t>
  </si>
  <si>
    <t>Mechanic Sales Tooling 201810</t>
  </si>
  <si>
    <t>Non Operating sales201810</t>
  </si>
  <si>
    <t>Partner Sales 201810</t>
  </si>
  <si>
    <t>Partner Sales Tooling 201810</t>
  </si>
  <si>
    <t>Sales - Discounts 201810</t>
  </si>
  <si>
    <t>Sales - Freight Out 201810</t>
  </si>
  <si>
    <t>Sales - Returns 201810</t>
  </si>
  <si>
    <t xml:space="preserve">Automotive Sales 201811  </t>
  </si>
  <si>
    <t>Automotive Sales Tooling 201811</t>
  </si>
  <si>
    <t>Bulk Sales 201811</t>
  </si>
  <si>
    <t>Bulk Sales Tooling 201811</t>
  </si>
  <si>
    <t>Consumer Sales 201811</t>
  </si>
  <si>
    <t>Consumer  Sales Tooling 201811</t>
  </si>
  <si>
    <t>Electronics Sales 201811</t>
  </si>
  <si>
    <t>Electronics Sales Tooling 201811</t>
  </si>
  <si>
    <t>Mechanic Sales 201811</t>
  </si>
  <si>
    <t>Mechanic Sales Tooling 201811</t>
  </si>
  <si>
    <t>Non Operating sales201811</t>
  </si>
  <si>
    <t>Partner Sales 201811</t>
  </si>
  <si>
    <t>Partner Sales Tooling 201811</t>
  </si>
  <si>
    <t>Sales - Discounts 201811</t>
  </si>
  <si>
    <t>Sales - Freight Out 201811</t>
  </si>
  <si>
    <t>Sales - Returns 201811</t>
  </si>
  <si>
    <t>Automotive Sales 201812</t>
  </si>
  <si>
    <t>Automotive Sales Tooling 201812</t>
  </si>
  <si>
    <t>Bulk Sales 201812</t>
  </si>
  <si>
    <t>Bulk Sales Tooling 201812</t>
  </si>
  <si>
    <t>Consumer Sales 201812</t>
  </si>
  <si>
    <t>Consumer  Sales Tooling 201812</t>
  </si>
  <si>
    <t>Electronics Sales 201812</t>
  </si>
  <si>
    <t>Electronics Sales Tooling 201812</t>
  </si>
  <si>
    <t>Mechanic Sales 201812</t>
  </si>
  <si>
    <t>Mechanic Sales Tooling 201812</t>
  </si>
  <si>
    <t>Non Operating sales201812</t>
  </si>
  <si>
    <t>Partner Sales 201812</t>
  </si>
  <si>
    <t>Partner Sales Tooling 201812</t>
  </si>
  <si>
    <t>Sales - Discounts 201812</t>
  </si>
  <si>
    <t>Sales - Freight Out 201812</t>
  </si>
  <si>
    <t>Sales - Returns 201812</t>
  </si>
  <si>
    <t>Automotive Sales 201701</t>
  </si>
  <si>
    <t>Automotive Sales Tooling 201701</t>
  </si>
  <si>
    <t>Bulk Sales 201701</t>
  </si>
  <si>
    <t>Bulk Sales Tooling 201701</t>
  </si>
  <si>
    <t>Consumer Sales 201701</t>
  </si>
  <si>
    <t>Consumer  Sales Tooling 201701</t>
  </si>
  <si>
    <t>Electronics Sales 201701</t>
  </si>
  <si>
    <t>Electronics Sales Tooling 201701</t>
  </si>
  <si>
    <t xml:space="preserve">Mechanic Sales 201701  </t>
  </si>
  <si>
    <t>Mechanic Sales Tooling 201701</t>
  </si>
  <si>
    <t>Non Operating sales201701</t>
  </si>
  <si>
    <t>Partner Sales 201701</t>
  </si>
  <si>
    <t>Partner Sales Tooling 201701</t>
  </si>
  <si>
    <t>Sales - Discounts 201701</t>
  </si>
  <si>
    <t>Sales - Freight Out 201701</t>
  </si>
  <si>
    <t>Sales - Returns 201701</t>
  </si>
  <si>
    <t>Automotive Sales 201702</t>
  </si>
  <si>
    <t>Automotive Sales Tooling 201702</t>
  </si>
  <si>
    <t>Bulk Sales 201702</t>
  </si>
  <si>
    <t>Bulk Sales Tooling 201702</t>
  </si>
  <si>
    <t>Consumer Sales 201702</t>
  </si>
  <si>
    <t>Consumer  Sales Tooling 201702</t>
  </si>
  <si>
    <t>Electronics Sales 201702</t>
  </si>
  <si>
    <t>Electronics Sales Tooling 201702</t>
  </si>
  <si>
    <t>Mechanic Sales 201702</t>
  </si>
  <si>
    <t>Mechanic Sales Tooling 201702</t>
  </si>
  <si>
    <t>Non Operating sales201702</t>
  </si>
  <si>
    <t>Partner Sales 201702</t>
  </si>
  <si>
    <t>Partner Sales Tooling 201702</t>
  </si>
  <si>
    <t>Sales - Discounts 201702</t>
  </si>
  <si>
    <t>Sales - Freight Out 201702</t>
  </si>
  <si>
    <t>Sales - Returns 201702</t>
  </si>
  <si>
    <t>Automotive Sales 201703</t>
  </si>
  <si>
    <t>Automotive Sales Tooling 201703</t>
  </si>
  <si>
    <t>Bulk Sales 201703</t>
  </si>
  <si>
    <t>Bulk Sales Tooling 201703</t>
  </si>
  <si>
    <t>Consumer Sales 201703</t>
  </si>
  <si>
    <t>Consumer  Sales Tooling 201703</t>
  </si>
  <si>
    <t>Electronics Sales 201703</t>
  </si>
  <si>
    <t>Electronics Sales Tooling 201703</t>
  </si>
  <si>
    <t>Mechanic Sales 201703</t>
  </si>
  <si>
    <t>Mechanic Sales Tooling 201703</t>
  </si>
  <si>
    <t>Non Operating sales201703</t>
  </si>
  <si>
    <t>Partner Sales 201703</t>
  </si>
  <si>
    <t>Partner Sales Tooling 201703</t>
  </si>
  <si>
    <t>Sales - Discounts 201703</t>
  </si>
  <si>
    <t>Sales - Freight Out 201703</t>
  </si>
  <si>
    <t>Sales - Returns 201703</t>
  </si>
  <si>
    <t>Automotive Sales 201704</t>
  </si>
  <si>
    <t>Automotive Sales Tooling 201704</t>
  </si>
  <si>
    <t>Bulk Sales 201704</t>
  </si>
  <si>
    <t>Bulk Sales Tooling 201704</t>
  </si>
  <si>
    <t>Consumer Sales 201704</t>
  </si>
  <si>
    <t>Consumer  Sales Tooling 201704</t>
  </si>
  <si>
    <t>Electronics Sales 201704</t>
  </si>
  <si>
    <t>Electronics Sales Tooling 201704</t>
  </si>
  <si>
    <t>Mechanic Sales 201704</t>
  </si>
  <si>
    <t>Mechanic Sales Tooling 201704</t>
  </si>
  <si>
    <t>Non Operating sales201704</t>
  </si>
  <si>
    <t>Partner Sales 201704</t>
  </si>
  <si>
    <t>Partner Sales Tooling 201704</t>
  </si>
  <si>
    <t>Sales - Discounts 201704</t>
  </si>
  <si>
    <t>Sales - Freight Out 201704</t>
  </si>
  <si>
    <t>Sales - Returns 201704</t>
  </si>
  <si>
    <t>Automotive Sales 201705</t>
  </si>
  <si>
    <t>Automotive Sales Tooling 201705</t>
  </si>
  <si>
    <t>Bulk Sales 201705</t>
  </si>
  <si>
    <t>Bulk Sales Tooling 201705</t>
  </si>
  <si>
    <t>Consumer Sales 201705</t>
  </si>
  <si>
    <t>Consumer  Sales Tooling 201705</t>
  </si>
  <si>
    <t>Electronics Sales 201705</t>
  </si>
  <si>
    <t>Electronics Sales Tooling 201705</t>
  </si>
  <si>
    <t>Mechanic Sales 201705</t>
  </si>
  <si>
    <t>Mechanic Sales Tooling 201705</t>
  </si>
  <si>
    <t>Non Operating sales201705</t>
  </si>
  <si>
    <t>Partner Sales 201705</t>
  </si>
  <si>
    <t>Partner Sales Tooling 201705</t>
  </si>
  <si>
    <t>Sales - Discounts 201705</t>
  </si>
  <si>
    <t>Sales - Freight Out 201705</t>
  </si>
  <si>
    <t>Sales - Returns 201705</t>
  </si>
  <si>
    <t>Automotive Sales 201706</t>
  </si>
  <si>
    <t>Automotive Sales Tooling 201706</t>
  </si>
  <si>
    <t>Bulk Sales 201706</t>
  </si>
  <si>
    <t>Bulk Sales Tooling 201706</t>
  </si>
  <si>
    <t>Consumer Sales 201706</t>
  </si>
  <si>
    <t>Consumer  Sales Tooling 201706</t>
  </si>
  <si>
    <t>Electronics Sales 201706</t>
  </si>
  <si>
    <t>Electronics Sales Tooling 201706</t>
  </si>
  <si>
    <t>Mechanic Sales 201706</t>
  </si>
  <si>
    <t>Mechanic Sales Tooling 201706</t>
  </si>
  <si>
    <t>Non Operating sales201706</t>
  </si>
  <si>
    <t>Partner Sales 201706</t>
  </si>
  <si>
    <t>Partner Sales Tooling 201706</t>
  </si>
  <si>
    <t>Sales - Discounts 201706</t>
  </si>
  <si>
    <t>Sales - Freight Out 201706</t>
  </si>
  <si>
    <t>Sales - Returns 201706</t>
  </si>
  <si>
    <t>Automotive Sales 201707</t>
  </si>
  <si>
    <t>Automotive Sales Tooling 201707</t>
  </si>
  <si>
    <t>Bulk Sales 201707</t>
  </si>
  <si>
    <t>Bulk Sales Tooling 201707</t>
  </si>
  <si>
    <t xml:space="preserve">Consumer Sales 201707  </t>
  </si>
  <si>
    <t>Consumer  Sales Tooling 201707</t>
  </si>
  <si>
    <t>Electronics Sales 201707</t>
  </si>
  <si>
    <t>Electronics Sales Tooling 201707</t>
  </si>
  <si>
    <t>Mechanic Sales 201707</t>
  </si>
  <si>
    <t>Mechanic Sales Tooling 201707</t>
  </si>
  <si>
    <t>Non Operating sales201707</t>
  </si>
  <si>
    <t>Partner Sales 201707</t>
  </si>
  <si>
    <t>Partner Sales Tooling 201707</t>
  </si>
  <si>
    <t>Sales - Discounts 201707</t>
  </si>
  <si>
    <t>Sales - Freight Out 201707</t>
  </si>
  <si>
    <t xml:space="preserve">Sales - Returns 201707  </t>
  </si>
  <si>
    <t xml:space="preserve">Automotive Sales 201708  </t>
  </si>
  <si>
    <t>Automotive Sales Tooling 201708</t>
  </si>
  <si>
    <t>Bulk Sales 201708</t>
  </si>
  <si>
    <t>Bulk Sales Tooling 201708</t>
  </si>
  <si>
    <t xml:space="preserve">Consumer Sales 201708  </t>
  </si>
  <si>
    <t>Consumer  Sales Tooling 201708</t>
  </si>
  <si>
    <t>Electronics Sales 201708</t>
  </si>
  <si>
    <t>Electronics Sales Tooling 201708</t>
  </si>
  <si>
    <t xml:space="preserve">Mechanic Sales 201708  </t>
  </si>
  <si>
    <t>Mechanic Sales Tooling 201708</t>
  </si>
  <si>
    <t>Non Operating sales201708</t>
  </si>
  <si>
    <t xml:space="preserve">Partner Sales 201708  </t>
  </si>
  <si>
    <t>Partner Sales Tooling 201708</t>
  </si>
  <si>
    <t>Sales - Discounts 201708</t>
  </si>
  <si>
    <t>Sales - Freight Out 201708</t>
  </si>
  <si>
    <t>Sales - Returns 201708</t>
  </si>
  <si>
    <t>Automotive Sales 201709</t>
  </si>
  <si>
    <t>Automotive Sales Tooling 201709</t>
  </si>
  <si>
    <t>Bulk Sales 201709</t>
  </si>
  <si>
    <t>Bulk Sales Tooling 201709</t>
  </si>
  <si>
    <t>Consumer Sales 201709</t>
  </si>
  <si>
    <t>Consumer  Sales Tooling 201709</t>
  </si>
  <si>
    <t>Electronics Sales 201709</t>
  </si>
  <si>
    <t>Electronics Sales Tooling 201709</t>
  </si>
  <si>
    <t xml:space="preserve">Mechanic Sales 201709  </t>
  </si>
  <si>
    <t>Mechanic Sales Tooling 201709</t>
  </si>
  <si>
    <t>Non Operating sales201709</t>
  </si>
  <si>
    <t>Partner Sales 201709</t>
  </si>
  <si>
    <t>Partner Sales Tooling 201709</t>
  </si>
  <si>
    <t>Sales - Discounts 201709</t>
  </si>
  <si>
    <t>Sales - Freight Out 201709</t>
  </si>
  <si>
    <t>Sales - Returns 201709</t>
  </si>
  <si>
    <t>Automotive Sales 201710</t>
  </si>
  <si>
    <t>Automotive Sales Tooling 201710</t>
  </si>
  <si>
    <t>Bulk Sales 201710</t>
  </si>
  <si>
    <t>Bulk Sales Tooling 201710</t>
  </si>
  <si>
    <t>Consumer Sales 201710</t>
  </si>
  <si>
    <t>Consumer  Sales Tooling 201710</t>
  </si>
  <si>
    <t>Electronics Sales 201710</t>
  </si>
  <si>
    <t>Electronics Sales Tooling 201710</t>
  </si>
  <si>
    <t>Mechanic Sales 201710</t>
  </si>
  <si>
    <t>Mechanic Sales Tooling 201710</t>
  </si>
  <si>
    <t>Non Operating sales201710</t>
  </si>
  <si>
    <t>Partner Sales 201710</t>
  </si>
  <si>
    <t>Partner Sales Tooling 201710</t>
  </si>
  <si>
    <t>Sales - Discounts 201710</t>
  </si>
  <si>
    <t>Sales - Freight Out 201710</t>
  </si>
  <si>
    <t>Sales - Returns 201710</t>
  </si>
  <si>
    <t>Automotive Sales 201711</t>
  </si>
  <si>
    <t>Automotive Sales Tooling 201711</t>
  </si>
  <si>
    <t>Bulk Sales 201711</t>
  </si>
  <si>
    <t>Bulk Sales Tooling 201711</t>
  </si>
  <si>
    <t>Consumer Sales 201711</t>
  </si>
  <si>
    <t>Consumer  Sales Tooling 201711</t>
  </si>
  <si>
    <t>Electronics Sales 201711</t>
  </si>
  <si>
    <t>Electronics Sales Tooling 201711</t>
  </si>
  <si>
    <t xml:space="preserve">Mechanic Sales 201711  </t>
  </si>
  <si>
    <t>Mechanic Sales Tooling 201711</t>
  </si>
  <si>
    <t>Non Operating sales201711</t>
  </si>
  <si>
    <t>Partner Sales 201711</t>
  </si>
  <si>
    <t>Partner Sales Tooling 201711</t>
  </si>
  <si>
    <t>Sales - Discounts 201711</t>
  </si>
  <si>
    <t>Sales - Freight Out 201711</t>
  </si>
  <si>
    <t>Sales - Returns 201711</t>
  </si>
  <si>
    <t>Automotive Sales 201712</t>
  </si>
  <si>
    <t>Automotive Sales Tooling 201712</t>
  </si>
  <si>
    <t>Bulk Sales 201712</t>
  </si>
  <si>
    <t>Bulk Sales Tooling 201712</t>
  </si>
  <si>
    <t>Consumer Sales 201712</t>
  </si>
  <si>
    <t>Consumer  Sales Tooling 201712</t>
  </si>
  <si>
    <t>Electronics Sales 201712</t>
  </si>
  <si>
    <t>Electronics Sales Tooling 201712</t>
  </si>
  <si>
    <t>Mechanic Sales 201712</t>
  </si>
  <si>
    <t>Mechanic Sales Tooling 201712</t>
  </si>
  <si>
    <t>Non Operating sales201712</t>
  </si>
  <si>
    <t>Partner Sales 201712</t>
  </si>
  <si>
    <t>Partner Sales Tooling 201712</t>
  </si>
  <si>
    <t>Sales - Discounts 201712</t>
  </si>
  <si>
    <t>Sales - Freight Out 201712</t>
  </si>
  <si>
    <t>Sales - Returns 201712</t>
  </si>
  <si>
    <t>Year</t>
  </si>
  <si>
    <t>Account Date (Year Month)</t>
  </si>
  <si>
    <t>Remove Extra Spaces</t>
  </si>
  <si>
    <t>Amount (Formatted)</t>
  </si>
  <si>
    <t>Q39</t>
  </si>
  <si>
    <t>Q40</t>
  </si>
  <si>
    <t>Excel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</si>
</sst>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Year &quot;0"/>
    <numFmt numFmtId="165" formatCode="_(* #,##0_);_(* \(#,##0\);_(* &quot;-&quot;??_);_(@_)"/>
    <numFmt numFmtId="166" formatCode="0.0%_);\(0.0%\);\-\ "/>
    <numFmt numFmtId="167" formatCode="_([$$-409]* #,##0.00_);_([$$-409]* \(#,##0.00\);_([$$-409]* &quot;-&quot;??_);_(@_)"/>
    <numFmt numFmtId="168" formatCode="m/d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48"/>
      <color theme="1"/>
      <name val="Cambria"/>
      <family val="1"/>
    </font>
    <font>
      <b/>
      <sz val="24"/>
      <color rgb="FF288E8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mbria"/>
      <family val="1"/>
    </font>
    <font>
      <i/>
      <sz val="11"/>
      <color theme="1"/>
      <name val="Cambria"/>
      <family val="1"/>
    </font>
    <font>
      <sz val="11"/>
      <color rgb="FF0000FF"/>
      <name val="Cambria"/>
      <family val="1"/>
    </font>
    <font>
      <b/>
      <sz val="20"/>
      <color theme="0"/>
      <name val="Cambria"/>
      <family val="1"/>
    </font>
    <font>
      <sz val="11"/>
      <color theme="0"/>
      <name val="Cambria"/>
      <family val="1"/>
    </font>
    <font>
      <sz val="11"/>
      <color theme="1" tint="0.499984740745262"/>
      <name val="Cambria"/>
      <family val="1"/>
    </font>
    <font>
      <sz val="11"/>
      <name val="Cambria"/>
      <family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35BDA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8" fillId="0" borderId="0" xfId="0" applyFont="1"/>
    <xf numFmtId="0" fontId="9" fillId="0" borderId="0" xfId="0" applyFont="1"/>
    <xf numFmtId="165" fontId="10" fillId="0" borderId="0" xfId="1" applyNumberFormat="1" applyFont="1"/>
    <xf numFmtId="0" fontId="10" fillId="0" borderId="0" xfId="0" quotePrefix="1" applyFont="1" applyAlignment="1">
      <alignment horizontal="right"/>
    </xf>
    <xf numFmtId="167" fontId="10" fillId="0" borderId="0" xfId="1" applyNumberFormat="1" applyFont="1"/>
    <xf numFmtId="165" fontId="2" fillId="2" borderId="0" xfId="1" applyNumberFormat="1" applyFont="1" applyFill="1"/>
    <xf numFmtId="167" fontId="2" fillId="2" borderId="0" xfId="1" applyNumberFormat="1" applyFont="1" applyFill="1"/>
    <xf numFmtId="165" fontId="3" fillId="2" borderId="0" xfId="1" applyNumberFormat="1" applyFont="1" applyFill="1"/>
    <xf numFmtId="166" fontId="9" fillId="2" borderId="0" xfId="0" applyNumberFormat="1" applyFont="1" applyFill="1"/>
    <xf numFmtId="165" fontId="3" fillId="2" borderId="0" xfId="0" applyNumberFormat="1" applyFont="1" applyFill="1"/>
    <xf numFmtId="166" fontId="9" fillId="2" borderId="0" xfId="0" applyNumberFormat="1" applyFont="1" applyFill="1" applyAlignment="1">
      <alignment horizontal="right"/>
    </xf>
    <xf numFmtId="165" fontId="2" fillId="2" borderId="0" xfId="0" applyNumberFormat="1" applyFont="1" applyFill="1"/>
    <xf numFmtId="0" fontId="9" fillId="0" borderId="0" xfId="0" applyFont="1" applyAlignment="1">
      <alignment horizontal="left" indent="1"/>
    </xf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13" fillId="0" borderId="0" xfId="0" quotePrefix="1" applyFont="1"/>
    <xf numFmtId="164" fontId="3" fillId="0" borderId="1" xfId="0" applyNumberFormat="1" applyFont="1" applyBorder="1" applyAlignment="1">
      <alignment horizontal="center"/>
    </xf>
    <xf numFmtId="166" fontId="10" fillId="0" borderId="0" xfId="0" applyNumberFormat="1" applyFont="1"/>
    <xf numFmtId="166" fontId="9" fillId="0" borderId="0" xfId="0" quotePrefix="1" applyNumberFormat="1" applyFont="1" applyAlignment="1">
      <alignment horizontal="right"/>
    </xf>
    <xf numFmtId="0" fontId="14" fillId="0" borderId="0" xfId="0" applyFont="1"/>
    <xf numFmtId="0" fontId="15" fillId="0" borderId="2" xfId="0" applyFont="1" applyBorder="1" applyAlignment="1">
      <alignment horizontal="left"/>
    </xf>
    <xf numFmtId="168" fontId="14" fillId="0" borderId="0" xfId="0" applyNumberFormat="1" applyFont="1" applyAlignment="1">
      <alignment horizontal="left"/>
    </xf>
    <xf numFmtId="0" fontId="15" fillId="0" borderId="2" xfId="0" applyFont="1" applyBorder="1" applyAlignment="1">
      <alignment horizontal="center"/>
    </xf>
    <xf numFmtId="165" fontId="14" fillId="2" borderId="0" xfId="1" applyNumberFormat="1" applyFont="1" applyFill="1" applyBorder="1" applyAlignment="1">
      <alignment horizontal="left"/>
    </xf>
    <xf numFmtId="165" fontId="2" fillId="0" borderId="0" xfId="1" applyNumberFormat="1" applyFont="1"/>
    <xf numFmtId="0" fontId="15" fillId="0" borderId="2" xfId="0" applyFont="1" applyBorder="1" applyAlignment="1">
      <alignment horizontal="center" wrapText="1"/>
    </xf>
    <xf numFmtId="43" fontId="14" fillId="2" borderId="0" xfId="1" applyFont="1" applyFill="1" applyBorder="1" applyAlignment="1">
      <alignment horizontal="left"/>
    </xf>
    <xf numFmtId="0" fontId="15" fillId="0" borderId="2" xfId="0" applyFont="1" applyBorder="1"/>
    <xf numFmtId="0" fontId="14" fillId="2" borderId="0" xfId="0" applyFont="1" applyFill="1"/>
    <xf numFmtId="43" fontId="14" fillId="2" borderId="0" xfId="1" quotePrefix="1" applyFont="1" applyFill="1" applyBorder="1" applyAlignment="1">
      <alignment horizontal="center"/>
    </xf>
    <xf numFmtId="165" fontId="1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35BDAD"/>
      <color rgb="FF49C0F5"/>
      <color rgb="FF8CFCA7"/>
      <color rgb="FF288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7:B9"/>
  <sheetViews>
    <sheetView showGridLines="0" workbookViewId="0">
      <selection activeCell="B9" sqref="B9"/>
    </sheetView>
  </sheetViews>
  <sheetFormatPr defaultRowHeight="14.25" x14ac:dyDescent="0.45"/>
  <cols>
    <col min="1" max="1" width="1.59765625" customWidth="1"/>
  </cols>
  <sheetData>
    <row r="7" spans="2:2" ht="58.9" x14ac:dyDescent="1.45">
      <c r="B7" s="3" t="s">
        <v>615</v>
      </c>
    </row>
    <row r="9" spans="2:2" ht="29.65" x14ac:dyDescent="0.7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7B51-A424-4242-8A51-3DAE8A8BD14C}">
  <sheetPr>
    <tabColor rgb="FFC00000"/>
  </sheetPr>
  <dimension ref="B2:K39"/>
  <sheetViews>
    <sheetView showGridLines="0" tabSelected="1" workbookViewId="0">
      <selection activeCell="B1" sqref="B1"/>
    </sheetView>
  </sheetViews>
  <sheetFormatPr defaultColWidth="12.59765625" defaultRowHeight="13.5" x14ac:dyDescent="0.35"/>
  <cols>
    <col min="1" max="1" width="1.59765625" style="1" customWidth="1"/>
    <col min="2" max="9" width="12.59765625" style="1"/>
    <col min="10" max="10" width="1.59765625" style="1" customWidth="1"/>
    <col min="11" max="11" width="50.59765625" style="21" customWidth="1"/>
    <col min="12" max="16384" width="12.59765625" style="1"/>
  </cols>
  <sheetData>
    <row r="2" spans="2:11" ht="13.9" thickBot="1" x14ac:dyDescent="0.4">
      <c r="E2" s="23">
        <v>1</v>
      </c>
      <c r="F2" s="23">
        <f>E2+1</f>
        <v>2</v>
      </c>
      <c r="G2" s="23">
        <f t="shared" ref="G2:I2" si="0">F2+1</f>
        <v>3</v>
      </c>
      <c r="H2" s="23">
        <f t="shared" si="0"/>
        <v>4</v>
      </c>
      <c r="I2" s="23">
        <f t="shared" si="0"/>
        <v>5</v>
      </c>
    </row>
    <row r="4" spans="2:11" x14ac:dyDescent="0.35">
      <c r="B4" s="1" t="s">
        <v>0</v>
      </c>
      <c r="E4" s="8">
        <v>5000</v>
      </c>
      <c r="F4" s="11">
        <f t="shared" ref="F4:I5" si="1">E4*(1+F32)</f>
        <v>5250</v>
      </c>
      <c r="G4" s="11">
        <f t="shared" si="1"/>
        <v>5512.5</v>
      </c>
      <c r="H4" s="11">
        <f t="shared" si="1"/>
        <v>5788.125</v>
      </c>
      <c r="I4" s="11">
        <f t="shared" si="1"/>
        <v>6077.53125</v>
      </c>
      <c r="K4" s="22"/>
    </row>
    <row r="5" spans="2:11" x14ac:dyDescent="0.35">
      <c r="B5" s="1" t="s">
        <v>1</v>
      </c>
      <c r="E5" s="10">
        <v>24.99</v>
      </c>
      <c r="F5" s="12">
        <f t="shared" si="1"/>
        <v>25.364849999999997</v>
      </c>
      <c r="G5" s="12">
        <f t="shared" si="1"/>
        <v>25.745322749999996</v>
      </c>
      <c r="H5" s="12">
        <f t="shared" si="1"/>
        <v>26.131502591249994</v>
      </c>
      <c r="I5" s="12">
        <f t="shared" si="1"/>
        <v>26.52347513011874</v>
      </c>
      <c r="K5" s="22"/>
    </row>
    <row r="6" spans="2:11" x14ac:dyDescent="0.35">
      <c r="B6" s="2" t="s">
        <v>2</v>
      </c>
      <c r="E6" s="13">
        <f>E4*E5</f>
        <v>124949.99999999999</v>
      </c>
      <c r="F6" s="13">
        <f t="shared" ref="F6:I6" si="2">F4*F5</f>
        <v>133165.46249999999</v>
      </c>
      <c r="G6" s="13">
        <f t="shared" si="2"/>
        <v>141921.09165937497</v>
      </c>
      <c r="H6" s="13">
        <f t="shared" si="2"/>
        <v>151252.40343597886</v>
      </c>
      <c r="I6" s="13">
        <f t="shared" si="2"/>
        <v>161197.24896189445</v>
      </c>
      <c r="K6" s="22"/>
    </row>
    <row r="7" spans="2:11" s="7" customFormat="1" x14ac:dyDescent="0.35">
      <c r="B7" s="18" t="s">
        <v>25</v>
      </c>
      <c r="E7" s="25" t="s">
        <v>28</v>
      </c>
      <c r="F7" s="14">
        <f>F6/E6-1</f>
        <v>6.5749999999999975E-2</v>
      </c>
      <c r="G7" s="14">
        <f t="shared" ref="G7:I7" si="3">G6/F6-1</f>
        <v>6.5749999999999753E-2</v>
      </c>
      <c r="H7" s="14">
        <f t="shared" si="3"/>
        <v>6.5749999999999975E-2</v>
      </c>
      <c r="I7" s="14">
        <f t="shared" si="3"/>
        <v>6.5749999999999753E-2</v>
      </c>
      <c r="K7" s="22"/>
    </row>
    <row r="9" spans="2:11" x14ac:dyDescent="0.35">
      <c r="B9" s="1" t="s">
        <v>3</v>
      </c>
      <c r="E9" s="10">
        <v>10</v>
      </c>
      <c r="F9" s="12">
        <f>E9*(1+F34)</f>
        <v>10.199999999999999</v>
      </c>
      <c r="G9" s="12">
        <f>F9*(1+G34)</f>
        <v>10.404</v>
      </c>
      <c r="H9" s="12">
        <f>G9*(1+H34)</f>
        <v>10.612080000000001</v>
      </c>
      <c r="I9" s="12">
        <f>H9*(1+I34)</f>
        <v>10.824321600000001</v>
      </c>
      <c r="K9" s="22"/>
    </row>
    <row r="10" spans="2:11" x14ac:dyDescent="0.35">
      <c r="B10" s="1" t="s">
        <v>4</v>
      </c>
      <c r="E10" s="11">
        <f>-E4*E9</f>
        <v>-50000</v>
      </c>
      <c r="F10" s="11">
        <f t="shared" ref="F10:I10" si="4">-F4*F9</f>
        <v>-53549.999999999993</v>
      </c>
      <c r="G10" s="11">
        <f t="shared" si="4"/>
        <v>-57352.05</v>
      </c>
      <c r="H10" s="11">
        <f t="shared" si="4"/>
        <v>-61424.045550000003</v>
      </c>
      <c r="I10" s="11">
        <f t="shared" si="4"/>
        <v>-65785.152784050006</v>
      </c>
      <c r="K10" s="22"/>
    </row>
    <row r="11" spans="2:11" x14ac:dyDescent="0.35">
      <c r="B11" s="2" t="s">
        <v>5</v>
      </c>
      <c r="E11" s="15">
        <f>E6+E10</f>
        <v>74949.999999999985</v>
      </c>
      <c r="F11" s="15">
        <f t="shared" ref="F11:I11" si="5">F6+F10</f>
        <v>79615.462499999994</v>
      </c>
      <c r="G11" s="15">
        <f t="shared" si="5"/>
        <v>84569.041659374969</v>
      </c>
      <c r="H11" s="15">
        <f t="shared" si="5"/>
        <v>89828.357885978854</v>
      </c>
      <c r="I11" s="15">
        <f t="shared" si="5"/>
        <v>95412.096177844447</v>
      </c>
      <c r="K11" s="22"/>
    </row>
    <row r="12" spans="2:11" s="7" customFormat="1" x14ac:dyDescent="0.35">
      <c r="B12" s="18" t="s">
        <v>6</v>
      </c>
      <c r="E12" s="16">
        <f>E11/E$6</f>
        <v>0.59983993597438967</v>
      </c>
      <c r="F12" s="16">
        <f t="shared" ref="F12:I12" si="6">F11/F$6</f>
        <v>0.59786870413189908</v>
      </c>
      <c r="G12" s="16">
        <f t="shared" si="6"/>
        <v>0.59588776178772118</v>
      </c>
      <c r="H12" s="16">
        <f t="shared" si="6"/>
        <v>0.59389706110687235</v>
      </c>
      <c r="I12" s="16">
        <f t="shared" si="6"/>
        <v>0.59189655401872887</v>
      </c>
      <c r="K12" s="22"/>
    </row>
    <row r="14" spans="2:11" x14ac:dyDescent="0.35">
      <c r="B14" s="1" t="s">
        <v>7</v>
      </c>
      <c r="E14" s="11">
        <f>-E6*E35</f>
        <v>-18992.399999999998</v>
      </c>
      <c r="F14" s="11">
        <f>-F6*F35</f>
        <v>-20507.481225</v>
      </c>
      <c r="G14" s="11">
        <f>-G6*G35</f>
        <v>-22139.690298862497</v>
      </c>
      <c r="H14" s="11">
        <f>-H6*H35</f>
        <v>-23897.879742884659</v>
      </c>
      <c r="I14" s="11">
        <f>-I6*I35</f>
        <v>-25791.559833903113</v>
      </c>
      <c r="K14" s="22"/>
    </row>
    <row r="15" spans="2:11" x14ac:dyDescent="0.35">
      <c r="B15" s="1" t="s">
        <v>8</v>
      </c>
      <c r="E15" s="8">
        <v>-7500</v>
      </c>
      <c r="F15" s="17">
        <f>E15*(1+F36)</f>
        <v>-7650</v>
      </c>
      <c r="G15" s="17">
        <f>F15*(1+G36)</f>
        <v>-7803</v>
      </c>
      <c r="H15" s="17">
        <f>G15*(1+H36)</f>
        <v>-7959.06</v>
      </c>
      <c r="I15" s="17">
        <f>H15*(1+I36)</f>
        <v>-8118.2412000000004</v>
      </c>
      <c r="K15" s="22"/>
    </row>
    <row r="16" spans="2:11" x14ac:dyDescent="0.35">
      <c r="B16" s="2" t="s">
        <v>13</v>
      </c>
      <c r="E16" s="15">
        <f>E11+E14+E15</f>
        <v>48457.599999999991</v>
      </c>
      <c r="F16" s="15">
        <f t="shared" ref="F16:I16" si="7">F11+F14+F15</f>
        <v>51457.981274999998</v>
      </c>
      <c r="G16" s="15">
        <f t="shared" si="7"/>
        <v>54626.351360512475</v>
      </c>
      <c r="H16" s="15">
        <f t="shared" si="7"/>
        <v>57971.418143094197</v>
      </c>
      <c r="I16" s="15">
        <f t="shared" si="7"/>
        <v>61502.29514394133</v>
      </c>
      <c r="K16" s="22"/>
    </row>
    <row r="17" spans="2:11" s="7" customFormat="1" x14ac:dyDescent="0.35">
      <c r="B17" s="18" t="s">
        <v>22</v>
      </c>
      <c r="E17" s="16">
        <f>E16/E$6</f>
        <v>0.38781592637054818</v>
      </c>
      <c r="F17" s="16">
        <f t="shared" ref="F17" si="8">F16/F$6</f>
        <v>0.38642137615074179</v>
      </c>
      <c r="G17" s="16">
        <f t="shared" ref="G17" si="9">G16/G$6</f>
        <v>0.38490650488809136</v>
      </c>
      <c r="H17" s="16">
        <f t="shared" ref="H17" si="10">H16/H$6</f>
        <v>0.38327601298337027</v>
      </c>
      <c r="I17" s="16">
        <f t="shared" ref="I17" si="11">I16/I$6</f>
        <v>0.38153439677174583</v>
      </c>
      <c r="K17" s="22"/>
    </row>
    <row r="19" spans="2:11" x14ac:dyDescent="0.35">
      <c r="B19" s="1" t="s">
        <v>9</v>
      </c>
      <c r="E19" s="11">
        <f>-E6*E37</f>
        <v>-4373.25</v>
      </c>
      <c r="F19" s="11">
        <f>-F6*F37</f>
        <v>-4660.7911875</v>
      </c>
      <c r="G19" s="11">
        <f>-G6*G37</f>
        <v>-4967.2382080781244</v>
      </c>
      <c r="H19" s="11">
        <f>-H6*H37</f>
        <v>-5293.834120259261</v>
      </c>
      <c r="I19" s="11">
        <f>-I6*I37</f>
        <v>-5641.9037136663064</v>
      </c>
      <c r="K19" s="22"/>
    </row>
    <row r="20" spans="2:11" x14ac:dyDescent="0.35">
      <c r="B20" s="2" t="s">
        <v>14</v>
      </c>
      <c r="E20" s="15">
        <f>E16+E19</f>
        <v>44084.349999999991</v>
      </c>
      <c r="F20" s="15">
        <f t="shared" ref="F20:I20" si="12">F16+F19</f>
        <v>46797.190087499999</v>
      </c>
      <c r="G20" s="15">
        <f t="shared" si="12"/>
        <v>49659.113152434351</v>
      </c>
      <c r="H20" s="15">
        <f t="shared" si="12"/>
        <v>52677.584022834933</v>
      </c>
      <c r="I20" s="15">
        <f t="shared" si="12"/>
        <v>55860.39143027502</v>
      </c>
      <c r="K20" s="22"/>
    </row>
    <row r="21" spans="2:11" s="7" customFormat="1" x14ac:dyDescent="0.35">
      <c r="B21" s="18" t="s">
        <v>23</v>
      </c>
      <c r="E21" s="16">
        <f>E20/E$6</f>
        <v>0.35281592637054821</v>
      </c>
      <c r="F21" s="16">
        <f t="shared" ref="F21" si="13">F20/F$6</f>
        <v>0.35142137615074182</v>
      </c>
      <c r="G21" s="16">
        <f t="shared" ref="G21" si="14">G20/G$6</f>
        <v>0.34990650488809139</v>
      </c>
      <c r="H21" s="16">
        <f t="shared" ref="H21" si="15">H20/H$6</f>
        <v>0.3482760129833703</v>
      </c>
      <c r="I21" s="16">
        <f t="shared" ref="I21" si="16">I20/I$6</f>
        <v>0.3465343967717458</v>
      </c>
      <c r="K21" s="22"/>
    </row>
    <row r="23" spans="2:11" x14ac:dyDescent="0.35">
      <c r="B23" s="1" t="s">
        <v>10</v>
      </c>
      <c r="E23" s="8">
        <v>-1500</v>
      </c>
      <c r="F23" s="8">
        <v>-1500</v>
      </c>
      <c r="G23" s="8">
        <v>-1500</v>
      </c>
      <c r="H23" s="8">
        <v>-1500</v>
      </c>
      <c r="I23" s="8">
        <v>-1500</v>
      </c>
    </row>
    <row r="24" spans="2:11" x14ac:dyDescent="0.35">
      <c r="B24" s="2" t="s">
        <v>20</v>
      </c>
      <c r="E24" s="15">
        <f>E20+E23</f>
        <v>42584.349999999991</v>
      </c>
      <c r="F24" s="15">
        <f t="shared" ref="F24:I24" si="17">F20+F23</f>
        <v>45297.190087499999</v>
      </c>
      <c r="G24" s="15">
        <f t="shared" si="17"/>
        <v>48159.113152434351</v>
      </c>
      <c r="H24" s="15">
        <f t="shared" si="17"/>
        <v>51177.584022834933</v>
      </c>
      <c r="I24" s="15">
        <f t="shared" si="17"/>
        <v>54360.39143027502</v>
      </c>
      <c r="K24" s="22"/>
    </row>
    <row r="26" spans="2:11" x14ac:dyDescent="0.35">
      <c r="B26" s="1" t="s">
        <v>11</v>
      </c>
      <c r="E26" s="11">
        <f>-E24*E38</f>
        <v>-10646.087499999998</v>
      </c>
      <c r="F26" s="11">
        <f>-F24*F38</f>
        <v>-11324.297521875</v>
      </c>
      <c r="G26" s="11">
        <f>-G24*G38</f>
        <v>-12039.778288108588</v>
      </c>
      <c r="H26" s="11">
        <f>-H24*H38</f>
        <v>-12794.396005708733</v>
      </c>
      <c r="I26" s="11">
        <f>-I24*I38</f>
        <v>-13590.097857568755</v>
      </c>
      <c r="K26" s="22"/>
    </row>
    <row r="27" spans="2:11" x14ac:dyDescent="0.35">
      <c r="B27" s="2" t="s">
        <v>12</v>
      </c>
      <c r="E27" s="15">
        <f>E24+E26</f>
        <v>31938.262499999993</v>
      </c>
      <c r="F27" s="15">
        <f t="shared" ref="F27:I27" si="18">F24+F26</f>
        <v>33972.892565624999</v>
      </c>
      <c r="G27" s="15">
        <f t="shared" si="18"/>
        <v>36119.334864325763</v>
      </c>
      <c r="H27" s="15">
        <f t="shared" si="18"/>
        <v>38383.188017126202</v>
      </c>
      <c r="I27" s="15">
        <f t="shared" si="18"/>
        <v>40770.293572706265</v>
      </c>
      <c r="K27" s="22"/>
    </row>
    <row r="28" spans="2:11" s="7" customFormat="1" x14ac:dyDescent="0.35">
      <c r="B28" s="18" t="s">
        <v>24</v>
      </c>
      <c r="E28" s="16">
        <f>E27/E$6</f>
        <v>0.2556083433373349</v>
      </c>
      <c r="F28" s="16">
        <f t="shared" ref="F28" si="19">F27/F$6</f>
        <v>0.25511789564523912</v>
      </c>
      <c r="G28" s="16">
        <f t="shared" ref="G28" si="20">G27/G$6</f>
        <v>0.25450293851329608</v>
      </c>
      <c r="H28" s="16">
        <f t="shared" ref="H28" si="21">H27/H$6</f>
        <v>0.25376911140042008</v>
      </c>
      <c r="I28" s="16">
        <f t="shared" ref="I28" si="22">I27/I$6</f>
        <v>0.25292177028619134</v>
      </c>
      <c r="K28" s="22"/>
    </row>
    <row r="31" spans="2:11" x14ac:dyDescent="0.35">
      <c r="B31" s="6" t="s">
        <v>27</v>
      </c>
    </row>
    <row r="32" spans="2:11" x14ac:dyDescent="0.35">
      <c r="B32" s="1" t="s">
        <v>18</v>
      </c>
      <c r="E32" s="9" t="s">
        <v>28</v>
      </c>
      <c r="F32" s="24">
        <v>0.05</v>
      </c>
      <c r="G32" s="24">
        <v>0.05</v>
      </c>
      <c r="H32" s="24">
        <v>0.05</v>
      </c>
      <c r="I32" s="24">
        <v>0.05</v>
      </c>
    </row>
    <row r="33" spans="2:9" x14ac:dyDescent="0.35">
      <c r="B33" s="1" t="s">
        <v>17</v>
      </c>
      <c r="E33" s="9" t="s">
        <v>28</v>
      </c>
      <c r="F33" s="24">
        <v>1.4999999999999999E-2</v>
      </c>
      <c r="G33" s="24">
        <v>1.4999999999999999E-2</v>
      </c>
      <c r="H33" s="24">
        <v>1.4999999999999999E-2</v>
      </c>
      <c r="I33" s="24">
        <v>1.4999999999999999E-2</v>
      </c>
    </row>
    <row r="34" spans="2:9" x14ac:dyDescent="0.35">
      <c r="B34" s="1" t="s">
        <v>16</v>
      </c>
      <c r="E34" s="9" t="s">
        <v>28</v>
      </c>
      <c r="F34" s="24">
        <v>0.02</v>
      </c>
      <c r="G34" s="24">
        <v>0.02</v>
      </c>
      <c r="H34" s="24">
        <v>0.02</v>
      </c>
      <c r="I34" s="24">
        <v>0.02</v>
      </c>
    </row>
    <row r="35" spans="2:9" x14ac:dyDescent="0.35">
      <c r="B35" s="1" t="s">
        <v>15</v>
      </c>
      <c r="E35" s="24">
        <v>0.152</v>
      </c>
      <c r="F35" s="24">
        <f>E35+0.002</f>
        <v>0.154</v>
      </c>
      <c r="G35" s="24">
        <f t="shared" ref="G35:I35" si="23">F35+0.002</f>
        <v>0.156</v>
      </c>
      <c r="H35" s="24">
        <f t="shared" si="23"/>
        <v>0.158</v>
      </c>
      <c r="I35" s="24">
        <f t="shared" si="23"/>
        <v>0.16</v>
      </c>
    </row>
    <row r="36" spans="2:9" x14ac:dyDescent="0.35">
      <c r="B36" s="1" t="s">
        <v>19</v>
      </c>
      <c r="E36" s="9" t="s">
        <v>28</v>
      </c>
      <c r="F36" s="24">
        <v>0.02</v>
      </c>
      <c r="G36" s="24">
        <v>0.02</v>
      </c>
      <c r="H36" s="24">
        <v>0.02</v>
      </c>
      <c r="I36" s="24">
        <v>0.02</v>
      </c>
    </row>
    <row r="37" spans="2:9" x14ac:dyDescent="0.35">
      <c r="B37" s="1" t="s">
        <v>26</v>
      </c>
      <c r="E37" s="24">
        <v>3.5000000000000003E-2</v>
      </c>
      <c r="F37" s="24">
        <v>3.5000000000000003E-2</v>
      </c>
      <c r="G37" s="24">
        <v>3.5000000000000003E-2</v>
      </c>
      <c r="H37" s="24">
        <v>3.5000000000000003E-2</v>
      </c>
      <c r="I37" s="24">
        <v>3.5000000000000003E-2</v>
      </c>
    </row>
    <row r="38" spans="2:9" x14ac:dyDescent="0.35">
      <c r="B38" s="1" t="s">
        <v>21</v>
      </c>
      <c r="E38" s="24">
        <v>0.25</v>
      </c>
      <c r="F38" s="24">
        <v>0.25</v>
      </c>
      <c r="G38" s="24">
        <v>0.25</v>
      </c>
      <c r="H38" s="24">
        <v>0.25</v>
      </c>
      <c r="I38" s="24">
        <v>0.25</v>
      </c>
    </row>
    <row r="39" spans="2:9" ht="13.9" thickBot="1" x14ac:dyDescent="0.4">
      <c r="B39" s="5"/>
      <c r="C39" s="5"/>
      <c r="D39" s="5"/>
      <c r="E39" s="5"/>
      <c r="F39" s="5"/>
      <c r="G39" s="5"/>
      <c r="H39" s="5"/>
      <c r="I39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28BF-B413-4FB0-8F61-19819FDE58D4}">
  <sheetPr>
    <tabColor rgb="FFC00000"/>
  </sheetPr>
  <dimension ref="B2:H585"/>
  <sheetViews>
    <sheetView showGridLines="0" workbookViewId="0">
      <selection activeCell="B2" sqref="B2"/>
    </sheetView>
  </sheetViews>
  <sheetFormatPr defaultColWidth="12.59765625" defaultRowHeight="13.5" x14ac:dyDescent="0.35"/>
  <cols>
    <col min="1" max="1" width="1.59765625" style="1" customWidth="1"/>
    <col min="2" max="2" width="40.6640625" style="1" customWidth="1"/>
    <col min="3" max="3" width="12.6640625" style="1" customWidth="1"/>
    <col min="4" max="5" width="30.6640625" style="1" customWidth="1"/>
    <col min="6" max="7" width="12.6640625" style="21" customWidth="1"/>
    <col min="8" max="8" width="12.6640625" style="1" customWidth="1"/>
    <col min="9" max="9" width="1.6640625" style="1" customWidth="1"/>
    <col min="10" max="16384" width="12.59765625" style="1"/>
  </cols>
  <sheetData>
    <row r="2" spans="2:8" ht="24.75" x14ac:dyDescent="0.65">
      <c r="B2" s="19"/>
      <c r="C2" s="20"/>
      <c r="D2" s="20"/>
      <c r="E2" s="20"/>
      <c r="F2" s="20"/>
      <c r="G2" s="20"/>
      <c r="H2" s="20"/>
    </row>
    <row r="4" spans="2:8" ht="27" x14ac:dyDescent="0.35">
      <c r="B4" s="27" t="s">
        <v>610</v>
      </c>
      <c r="C4" s="34" t="s">
        <v>29</v>
      </c>
      <c r="D4" s="34" t="s">
        <v>611</v>
      </c>
      <c r="E4" s="29" t="s">
        <v>32</v>
      </c>
      <c r="F4" s="29" t="s">
        <v>30</v>
      </c>
      <c r="G4" s="29" t="s">
        <v>609</v>
      </c>
      <c r="H4" s="32" t="s">
        <v>612</v>
      </c>
    </row>
    <row r="5" spans="2:8" x14ac:dyDescent="0.35">
      <c r="B5" s="28" t="s">
        <v>33</v>
      </c>
      <c r="C5" s="26">
        <v>258272.41439999998</v>
      </c>
      <c r="D5" s="35" t="str">
        <f>TRIM(B5)</f>
        <v>Automotive Sales 201901</v>
      </c>
      <c r="E5" s="33" t="str">
        <f>LEFT(D5,LEN(D5)-7)</f>
        <v>Automotive Sales</v>
      </c>
      <c r="F5" s="36" t="str">
        <f>RIGHT(D5,2)</f>
        <v>01</v>
      </c>
      <c r="G5" s="36" t="str">
        <f>RIGHT(LEFT(D5,LEN(D5)-2),4)</f>
        <v>2019</v>
      </c>
      <c r="H5" s="30">
        <f>C5</f>
        <v>258272.41439999998</v>
      </c>
    </row>
    <row r="6" spans="2:8" s="7" customFormat="1" x14ac:dyDescent="0.35">
      <c r="B6" s="28" t="s">
        <v>34</v>
      </c>
      <c r="C6" s="26">
        <v>0</v>
      </c>
      <c r="D6" s="35" t="str">
        <f t="shared" ref="D6:D69" si="0">TRIM(B6)</f>
        <v>Automotive Sales Tooling 201901</v>
      </c>
      <c r="E6" s="33" t="str">
        <f t="shared" ref="E6:E69" si="1">LEFT(D6,LEN(D6)-7)</f>
        <v>Automotive Sales Tooling</v>
      </c>
      <c r="F6" s="36" t="str">
        <f t="shared" ref="F6:F69" si="2">RIGHT(D6,2)</f>
        <v>01</v>
      </c>
      <c r="G6" s="36" t="str">
        <f t="shared" ref="G6:G69" si="3">RIGHT(LEFT(D6,LEN(D6)-2),4)</f>
        <v>2019</v>
      </c>
      <c r="H6" s="30">
        <f t="shared" ref="H6:H69" si="4">C6</f>
        <v>0</v>
      </c>
    </row>
    <row r="7" spans="2:8" x14ac:dyDescent="0.35">
      <c r="B7" s="28" t="s">
        <v>35</v>
      </c>
      <c r="C7" s="26">
        <v>787339.93790000002</v>
      </c>
      <c r="D7" s="35" t="str">
        <f t="shared" si="0"/>
        <v>Bulk Sales 201901</v>
      </c>
      <c r="E7" s="33" t="str">
        <f t="shared" si="1"/>
        <v>Bulk Sales</v>
      </c>
      <c r="F7" s="36" t="str">
        <f t="shared" si="2"/>
        <v>01</v>
      </c>
      <c r="G7" s="36" t="str">
        <f t="shared" si="3"/>
        <v>2019</v>
      </c>
      <c r="H7" s="30">
        <f t="shared" si="4"/>
        <v>787339.93790000002</v>
      </c>
    </row>
    <row r="8" spans="2:8" x14ac:dyDescent="0.35">
      <c r="B8" s="28" t="s">
        <v>36</v>
      </c>
      <c r="C8" s="26">
        <v>131133.6</v>
      </c>
      <c r="D8" s="35" t="str">
        <f t="shared" si="0"/>
        <v>Bulk Sales Tooling 201901</v>
      </c>
      <c r="E8" s="33" t="str">
        <f t="shared" si="1"/>
        <v>Bulk Sales Tooling</v>
      </c>
      <c r="F8" s="36" t="str">
        <f t="shared" si="2"/>
        <v>01</v>
      </c>
      <c r="G8" s="36" t="str">
        <f t="shared" si="3"/>
        <v>2019</v>
      </c>
      <c r="H8" s="30">
        <f t="shared" si="4"/>
        <v>131133.6</v>
      </c>
    </row>
    <row r="9" spans="2:8" x14ac:dyDescent="0.35">
      <c r="B9" s="28" t="s">
        <v>37</v>
      </c>
      <c r="C9" s="26">
        <v>522416.54159999994</v>
      </c>
      <c r="D9" s="35" t="str">
        <f t="shared" si="0"/>
        <v>Consumer Sales 201901</v>
      </c>
      <c r="E9" s="33" t="str">
        <f t="shared" si="1"/>
        <v>Consumer Sales</v>
      </c>
      <c r="F9" s="36" t="str">
        <f t="shared" si="2"/>
        <v>01</v>
      </c>
      <c r="G9" s="36" t="str">
        <f t="shared" si="3"/>
        <v>2019</v>
      </c>
      <c r="H9" s="30">
        <f t="shared" si="4"/>
        <v>522416.54159999994</v>
      </c>
    </row>
    <row r="10" spans="2:8" s="7" customFormat="1" x14ac:dyDescent="0.35">
      <c r="B10" s="28" t="s">
        <v>38</v>
      </c>
      <c r="C10" s="26">
        <v>0</v>
      </c>
      <c r="D10" s="35" t="str">
        <f t="shared" si="0"/>
        <v>Consumer Sales Tooling 201901</v>
      </c>
      <c r="E10" s="33" t="str">
        <f t="shared" si="1"/>
        <v>Consumer Sales Tooling</v>
      </c>
      <c r="F10" s="36" t="str">
        <f t="shared" si="2"/>
        <v>01</v>
      </c>
      <c r="G10" s="36" t="str">
        <f t="shared" si="3"/>
        <v>2019</v>
      </c>
      <c r="H10" s="30">
        <f t="shared" si="4"/>
        <v>0</v>
      </c>
    </row>
    <row r="11" spans="2:8" x14ac:dyDescent="0.35">
      <c r="B11" s="28" t="s">
        <v>39</v>
      </c>
      <c r="C11" s="26">
        <v>9129.6</v>
      </c>
      <c r="D11" s="35" t="str">
        <f t="shared" si="0"/>
        <v>Electronics Sales 201901</v>
      </c>
      <c r="E11" s="33" t="str">
        <f t="shared" si="1"/>
        <v>Electronics Sales</v>
      </c>
      <c r="F11" s="36" t="str">
        <f t="shared" si="2"/>
        <v>01</v>
      </c>
      <c r="G11" s="36" t="str">
        <f t="shared" si="3"/>
        <v>2019</v>
      </c>
      <c r="H11" s="30">
        <f t="shared" si="4"/>
        <v>9129.6</v>
      </c>
    </row>
    <row r="12" spans="2:8" s="7" customFormat="1" x14ac:dyDescent="0.35">
      <c r="B12" s="28" t="s">
        <v>40</v>
      </c>
      <c r="C12" s="26">
        <v>0</v>
      </c>
      <c r="D12" s="35" t="str">
        <f t="shared" si="0"/>
        <v>Electronics Sales Tooling 201901</v>
      </c>
      <c r="E12" s="33" t="str">
        <f t="shared" si="1"/>
        <v>Electronics Sales Tooling</v>
      </c>
      <c r="F12" s="36" t="str">
        <f t="shared" si="2"/>
        <v>01</v>
      </c>
      <c r="G12" s="36" t="str">
        <f t="shared" si="3"/>
        <v>2019</v>
      </c>
      <c r="H12" s="30">
        <f t="shared" si="4"/>
        <v>0</v>
      </c>
    </row>
    <row r="13" spans="2:8" x14ac:dyDescent="0.35">
      <c r="B13" s="28" t="s">
        <v>41</v>
      </c>
      <c r="C13" s="26">
        <v>0</v>
      </c>
      <c r="D13" s="35" t="str">
        <f t="shared" si="0"/>
        <v>Mechanic Sales 201901</v>
      </c>
      <c r="E13" s="33" t="str">
        <f t="shared" si="1"/>
        <v>Mechanic Sales</v>
      </c>
      <c r="F13" s="36" t="str">
        <f t="shared" si="2"/>
        <v>01</v>
      </c>
      <c r="G13" s="36" t="str">
        <f t="shared" si="3"/>
        <v>2019</v>
      </c>
      <c r="H13" s="30">
        <f t="shared" si="4"/>
        <v>0</v>
      </c>
    </row>
    <row r="14" spans="2:8" x14ac:dyDescent="0.35">
      <c r="B14" s="28" t="s">
        <v>42</v>
      </c>
      <c r="C14" s="26">
        <v>0</v>
      </c>
      <c r="D14" s="35" t="str">
        <f t="shared" si="0"/>
        <v>Mechanic Sales Tooling 201901</v>
      </c>
      <c r="E14" s="33" t="str">
        <f t="shared" si="1"/>
        <v>Mechanic Sales Tooling</v>
      </c>
      <c r="F14" s="36" t="str">
        <f t="shared" si="2"/>
        <v>01</v>
      </c>
      <c r="G14" s="36" t="str">
        <f t="shared" si="3"/>
        <v>2019</v>
      </c>
      <c r="H14" s="30">
        <f t="shared" si="4"/>
        <v>0</v>
      </c>
    </row>
    <row r="15" spans="2:8" x14ac:dyDescent="0.35">
      <c r="B15" s="28" t="s">
        <v>43</v>
      </c>
      <c r="C15" s="26">
        <v>0</v>
      </c>
      <c r="D15" s="35" t="str">
        <f t="shared" si="0"/>
        <v>Non Operating sales201901</v>
      </c>
      <c r="E15" s="33" t="str">
        <f t="shared" si="1"/>
        <v>Non Operating sale</v>
      </c>
      <c r="F15" s="36" t="str">
        <f t="shared" si="2"/>
        <v>01</v>
      </c>
      <c r="G15" s="36" t="str">
        <f t="shared" si="3"/>
        <v>2019</v>
      </c>
      <c r="H15" s="30">
        <f t="shared" si="4"/>
        <v>0</v>
      </c>
    </row>
    <row r="16" spans="2:8" x14ac:dyDescent="0.35">
      <c r="B16" s="28" t="s">
        <v>44</v>
      </c>
      <c r="C16" s="26">
        <v>63522.646400000005</v>
      </c>
      <c r="D16" s="35" t="str">
        <f t="shared" si="0"/>
        <v>Partner Sales 201901</v>
      </c>
      <c r="E16" s="33" t="str">
        <f t="shared" si="1"/>
        <v>Partner Sales</v>
      </c>
      <c r="F16" s="36" t="str">
        <f t="shared" si="2"/>
        <v>01</v>
      </c>
      <c r="G16" s="36" t="str">
        <f t="shared" si="3"/>
        <v>2019</v>
      </c>
      <c r="H16" s="30">
        <f t="shared" si="4"/>
        <v>63522.646400000005</v>
      </c>
    </row>
    <row r="17" spans="2:8" x14ac:dyDescent="0.35">
      <c r="B17" s="28" t="s">
        <v>45</v>
      </c>
      <c r="C17" s="26">
        <v>0</v>
      </c>
      <c r="D17" s="35" t="str">
        <f t="shared" si="0"/>
        <v>Partner Sales Tooling 201901</v>
      </c>
      <c r="E17" s="33" t="str">
        <f t="shared" si="1"/>
        <v>Partner Sales Tooling</v>
      </c>
      <c r="F17" s="36" t="str">
        <f t="shared" si="2"/>
        <v>01</v>
      </c>
      <c r="G17" s="36" t="str">
        <f t="shared" si="3"/>
        <v>2019</v>
      </c>
      <c r="H17" s="30">
        <f t="shared" si="4"/>
        <v>0</v>
      </c>
    </row>
    <row r="18" spans="2:8" x14ac:dyDescent="0.35">
      <c r="B18" s="28" t="s">
        <v>46</v>
      </c>
      <c r="C18" s="26">
        <v>-1900.472</v>
      </c>
      <c r="D18" s="35" t="str">
        <f t="shared" si="0"/>
        <v>Sales - Discounts 201901</v>
      </c>
      <c r="E18" s="33" t="str">
        <f t="shared" si="1"/>
        <v>Sales - Discounts</v>
      </c>
      <c r="F18" s="36" t="str">
        <f t="shared" si="2"/>
        <v>01</v>
      </c>
      <c r="G18" s="36" t="str">
        <f t="shared" si="3"/>
        <v>2019</v>
      </c>
      <c r="H18" s="30">
        <f t="shared" si="4"/>
        <v>-1900.472</v>
      </c>
    </row>
    <row r="19" spans="2:8" x14ac:dyDescent="0.35">
      <c r="B19" s="28" t="s">
        <v>47</v>
      </c>
      <c r="C19" s="26">
        <v>314.07050000000004</v>
      </c>
      <c r="D19" s="35" t="str">
        <f t="shared" si="0"/>
        <v>Sales - Freight Out 201901</v>
      </c>
      <c r="E19" s="33" t="str">
        <f t="shared" si="1"/>
        <v>Sales - Freight Out</v>
      </c>
      <c r="F19" s="36" t="str">
        <f t="shared" si="2"/>
        <v>01</v>
      </c>
      <c r="G19" s="36" t="str">
        <f t="shared" si="3"/>
        <v>2019</v>
      </c>
      <c r="H19" s="30">
        <f t="shared" si="4"/>
        <v>314.07050000000004</v>
      </c>
    </row>
    <row r="20" spans="2:8" x14ac:dyDescent="0.35">
      <c r="B20" s="28" t="s">
        <v>48</v>
      </c>
      <c r="C20" s="26">
        <v>-5064.1750000000002</v>
      </c>
      <c r="D20" s="35" t="str">
        <f t="shared" si="0"/>
        <v>Sales - Returns 201901</v>
      </c>
      <c r="E20" s="33" t="str">
        <f t="shared" si="1"/>
        <v>Sales - Returns</v>
      </c>
      <c r="F20" s="36" t="str">
        <f t="shared" si="2"/>
        <v>01</v>
      </c>
      <c r="G20" s="36" t="str">
        <f t="shared" si="3"/>
        <v>2019</v>
      </c>
      <c r="H20" s="30">
        <f t="shared" si="4"/>
        <v>-5064.1750000000002</v>
      </c>
    </row>
    <row r="21" spans="2:8" x14ac:dyDescent="0.35">
      <c r="B21" s="28" t="s">
        <v>49</v>
      </c>
      <c r="C21" s="26">
        <v>242767.86819999997</v>
      </c>
      <c r="D21" s="35" t="str">
        <f t="shared" si="0"/>
        <v>Automotive Sales 201902</v>
      </c>
      <c r="E21" s="33" t="str">
        <f t="shared" si="1"/>
        <v>Automotive Sales</v>
      </c>
      <c r="F21" s="36" t="str">
        <f t="shared" si="2"/>
        <v>02</v>
      </c>
      <c r="G21" s="36" t="str">
        <f t="shared" si="3"/>
        <v>2019</v>
      </c>
      <c r="H21" s="30">
        <f t="shared" si="4"/>
        <v>242767.86819999997</v>
      </c>
    </row>
    <row r="22" spans="2:8" x14ac:dyDescent="0.35">
      <c r="B22" s="28" t="s">
        <v>50</v>
      </c>
      <c r="C22" s="26">
        <v>3975</v>
      </c>
      <c r="D22" s="35" t="str">
        <f t="shared" si="0"/>
        <v>Automotive Sales Tooling 201902</v>
      </c>
      <c r="E22" s="33" t="str">
        <f t="shared" si="1"/>
        <v>Automotive Sales Tooling</v>
      </c>
      <c r="F22" s="36" t="str">
        <f t="shared" si="2"/>
        <v>02</v>
      </c>
      <c r="G22" s="36" t="str">
        <f t="shared" si="3"/>
        <v>2019</v>
      </c>
      <c r="H22" s="30">
        <f t="shared" si="4"/>
        <v>3975</v>
      </c>
    </row>
    <row r="23" spans="2:8" x14ac:dyDescent="0.35">
      <c r="B23" s="28" t="s">
        <v>51</v>
      </c>
      <c r="C23" s="26">
        <v>635380.18950000009</v>
      </c>
      <c r="D23" s="35" t="str">
        <f t="shared" si="0"/>
        <v>Bulk Sales 201902</v>
      </c>
      <c r="E23" s="33" t="str">
        <f t="shared" si="1"/>
        <v>Bulk Sales</v>
      </c>
      <c r="F23" s="36" t="str">
        <f t="shared" si="2"/>
        <v>02</v>
      </c>
      <c r="G23" s="36" t="str">
        <f t="shared" si="3"/>
        <v>2019</v>
      </c>
      <c r="H23" s="30">
        <f t="shared" si="4"/>
        <v>635380.18950000009</v>
      </c>
    </row>
    <row r="24" spans="2:8" x14ac:dyDescent="0.35">
      <c r="B24" s="28" t="s">
        <v>52</v>
      </c>
      <c r="C24" s="26">
        <v>134265.60000000001</v>
      </c>
      <c r="D24" s="35" t="str">
        <f t="shared" si="0"/>
        <v>Bulk Sales Tooling 201902</v>
      </c>
      <c r="E24" s="33" t="str">
        <f t="shared" si="1"/>
        <v>Bulk Sales Tooling</v>
      </c>
      <c r="F24" s="36" t="str">
        <f t="shared" si="2"/>
        <v>02</v>
      </c>
      <c r="G24" s="36" t="str">
        <f t="shared" si="3"/>
        <v>2019</v>
      </c>
      <c r="H24" s="30">
        <f t="shared" si="4"/>
        <v>134265.60000000001</v>
      </c>
    </row>
    <row r="25" spans="2:8" x14ac:dyDescent="0.35">
      <c r="B25" s="28" t="s">
        <v>53</v>
      </c>
      <c r="C25" s="26">
        <v>492292.79999999993</v>
      </c>
      <c r="D25" s="35" t="str">
        <f t="shared" si="0"/>
        <v>Consumer Sales 201902</v>
      </c>
      <c r="E25" s="33" t="str">
        <f t="shared" si="1"/>
        <v>Consumer Sales</v>
      </c>
      <c r="F25" s="36" t="str">
        <f t="shared" si="2"/>
        <v>02</v>
      </c>
      <c r="G25" s="36" t="str">
        <f t="shared" si="3"/>
        <v>2019</v>
      </c>
      <c r="H25" s="30">
        <f t="shared" si="4"/>
        <v>492292.79999999993</v>
      </c>
    </row>
    <row r="26" spans="2:8" x14ac:dyDescent="0.35">
      <c r="B26" s="28" t="s">
        <v>54</v>
      </c>
      <c r="C26" s="26">
        <v>0</v>
      </c>
      <c r="D26" s="35" t="str">
        <f t="shared" si="0"/>
        <v>Consumer Sales Tooling 201902</v>
      </c>
      <c r="E26" s="33" t="str">
        <f t="shared" si="1"/>
        <v>Consumer Sales Tooling</v>
      </c>
      <c r="F26" s="36" t="str">
        <f t="shared" si="2"/>
        <v>02</v>
      </c>
      <c r="G26" s="36" t="str">
        <f t="shared" si="3"/>
        <v>2019</v>
      </c>
      <c r="H26" s="30">
        <f t="shared" si="4"/>
        <v>0</v>
      </c>
    </row>
    <row r="27" spans="2:8" x14ac:dyDescent="0.35">
      <c r="B27" s="28" t="s">
        <v>55</v>
      </c>
      <c r="C27" s="26">
        <v>6447.384</v>
      </c>
      <c r="D27" s="35" t="str">
        <f t="shared" si="0"/>
        <v>Electronics Sales 201902</v>
      </c>
      <c r="E27" s="33" t="str">
        <f t="shared" si="1"/>
        <v>Electronics Sales</v>
      </c>
      <c r="F27" s="36" t="str">
        <f t="shared" si="2"/>
        <v>02</v>
      </c>
      <c r="G27" s="36" t="str">
        <f t="shared" si="3"/>
        <v>2019</v>
      </c>
      <c r="H27" s="30">
        <f t="shared" si="4"/>
        <v>6447.384</v>
      </c>
    </row>
    <row r="28" spans="2:8" x14ac:dyDescent="0.35">
      <c r="B28" s="28" t="s">
        <v>56</v>
      </c>
      <c r="C28" s="26">
        <v>0</v>
      </c>
      <c r="D28" s="35" t="str">
        <f t="shared" si="0"/>
        <v>Electronics Sales Tooling 201902</v>
      </c>
      <c r="E28" s="33" t="str">
        <f t="shared" si="1"/>
        <v>Electronics Sales Tooling</v>
      </c>
      <c r="F28" s="36" t="str">
        <f t="shared" si="2"/>
        <v>02</v>
      </c>
      <c r="G28" s="36" t="str">
        <f t="shared" si="3"/>
        <v>2019</v>
      </c>
      <c r="H28" s="30">
        <f t="shared" si="4"/>
        <v>0</v>
      </c>
    </row>
    <row r="29" spans="2:8" x14ac:dyDescent="0.35">
      <c r="B29" s="28" t="s">
        <v>57</v>
      </c>
      <c r="C29" s="26">
        <v>64424.97</v>
      </c>
      <c r="D29" s="35" t="str">
        <f t="shared" si="0"/>
        <v>Mechanic Sales 201902</v>
      </c>
      <c r="E29" s="33" t="str">
        <f t="shared" si="1"/>
        <v>Mechanic Sales</v>
      </c>
      <c r="F29" s="36" t="str">
        <f t="shared" si="2"/>
        <v>02</v>
      </c>
      <c r="G29" s="36" t="str">
        <f t="shared" si="3"/>
        <v>2019</v>
      </c>
      <c r="H29" s="30">
        <f t="shared" si="4"/>
        <v>64424.97</v>
      </c>
    </row>
    <row r="30" spans="2:8" x14ac:dyDescent="0.35">
      <c r="B30" s="28" t="s">
        <v>58</v>
      </c>
      <c r="C30" s="26">
        <v>22764.449999999997</v>
      </c>
      <c r="D30" s="35" t="str">
        <f t="shared" si="0"/>
        <v>Mechanic Sales Tooling 201902</v>
      </c>
      <c r="E30" s="33" t="str">
        <f t="shared" si="1"/>
        <v>Mechanic Sales Tooling</v>
      </c>
      <c r="F30" s="36" t="str">
        <f t="shared" si="2"/>
        <v>02</v>
      </c>
      <c r="G30" s="36" t="str">
        <f t="shared" si="3"/>
        <v>2019</v>
      </c>
      <c r="H30" s="30">
        <f t="shared" si="4"/>
        <v>22764.449999999997</v>
      </c>
    </row>
    <row r="31" spans="2:8" x14ac:dyDescent="0.35">
      <c r="B31" s="28" t="s">
        <v>59</v>
      </c>
      <c r="C31" s="26">
        <v>0</v>
      </c>
      <c r="D31" s="35" t="str">
        <f t="shared" si="0"/>
        <v>Non Operating sales201902</v>
      </c>
      <c r="E31" s="33" t="str">
        <f t="shared" si="1"/>
        <v>Non Operating sale</v>
      </c>
      <c r="F31" s="36" t="str">
        <f t="shared" si="2"/>
        <v>02</v>
      </c>
      <c r="G31" s="36" t="str">
        <f t="shared" si="3"/>
        <v>2019</v>
      </c>
      <c r="H31" s="30">
        <f t="shared" si="4"/>
        <v>0</v>
      </c>
    </row>
    <row r="32" spans="2:8" x14ac:dyDescent="0.35">
      <c r="B32" s="28" t="s">
        <v>60</v>
      </c>
      <c r="C32" s="26">
        <v>84865.83140000001</v>
      </c>
      <c r="D32" s="35" t="str">
        <f t="shared" si="0"/>
        <v>Partner Sales 201902</v>
      </c>
      <c r="E32" s="33" t="str">
        <f t="shared" si="1"/>
        <v>Partner Sales</v>
      </c>
      <c r="F32" s="36" t="str">
        <f t="shared" si="2"/>
        <v>02</v>
      </c>
      <c r="G32" s="36" t="str">
        <f t="shared" si="3"/>
        <v>2019</v>
      </c>
      <c r="H32" s="30">
        <f t="shared" si="4"/>
        <v>84865.83140000001</v>
      </c>
    </row>
    <row r="33" spans="2:8" x14ac:dyDescent="0.35">
      <c r="B33" s="28" t="s">
        <v>61</v>
      </c>
      <c r="C33" s="26">
        <v>0</v>
      </c>
      <c r="D33" s="35" t="str">
        <f t="shared" si="0"/>
        <v>Partner Sales Tooling 201902</v>
      </c>
      <c r="E33" s="33" t="str">
        <f t="shared" si="1"/>
        <v>Partner Sales Tooling</v>
      </c>
      <c r="F33" s="36" t="str">
        <f t="shared" si="2"/>
        <v>02</v>
      </c>
      <c r="G33" s="36" t="str">
        <f t="shared" si="3"/>
        <v>2019</v>
      </c>
      <c r="H33" s="30">
        <f t="shared" si="4"/>
        <v>0</v>
      </c>
    </row>
    <row r="34" spans="2:8" x14ac:dyDescent="0.35">
      <c r="B34" s="28" t="s">
        <v>62</v>
      </c>
      <c r="C34" s="26">
        <v>-6560.0919999999996</v>
      </c>
      <c r="D34" s="35" t="str">
        <f t="shared" si="0"/>
        <v>Sales - Discounts 201902</v>
      </c>
      <c r="E34" s="33" t="str">
        <f t="shared" si="1"/>
        <v>Sales - Discounts</v>
      </c>
      <c r="F34" s="36" t="str">
        <f t="shared" si="2"/>
        <v>02</v>
      </c>
      <c r="G34" s="36" t="str">
        <f t="shared" si="3"/>
        <v>2019</v>
      </c>
      <c r="H34" s="30">
        <f t="shared" si="4"/>
        <v>-6560.0919999999996</v>
      </c>
    </row>
    <row r="35" spans="2:8" x14ac:dyDescent="0.35">
      <c r="B35" s="28" t="s">
        <v>63</v>
      </c>
      <c r="C35" s="26">
        <v>372.25590000000005</v>
      </c>
      <c r="D35" s="35" t="str">
        <f t="shared" si="0"/>
        <v>Sales - Freight Out 201902</v>
      </c>
      <c r="E35" s="33" t="str">
        <f t="shared" si="1"/>
        <v>Sales - Freight Out</v>
      </c>
      <c r="F35" s="36" t="str">
        <f t="shared" si="2"/>
        <v>02</v>
      </c>
      <c r="G35" s="36" t="str">
        <f t="shared" si="3"/>
        <v>2019</v>
      </c>
      <c r="H35" s="30">
        <f t="shared" si="4"/>
        <v>372.25590000000005</v>
      </c>
    </row>
    <row r="36" spans="2:8" x14ac:dyDescent="0.35">
      <c r="B36" s="28" t="s">
        <v>64</v>
      </c>
      <c r="C36" s="26">
        <v>-380.9375</v>
      </c>
      <c r="D36" s="35" t="str">
        <f t="shared" si="0"/>
        <v>Sales - Returns 201902</v>
      </c>
      <c r="E36" s="33" t="str">
        <f t="shared" si="1"/>
        <v>Sales - Returns</v>
      </c>
      <c r="F36" s="36" t="str">
        <f t="shared" si="2"/>
        <v>02</v>
      </c>
      <c r="G36" s="36" t="str">
        <f t="shared" si="3"/>
        <v>2019</v>
      </c>
      <c r="H36" s="30">
        <f t="shared" si="4"/>
        <v>-380.9375</v>
      </c>
    </row>
    <row r="37" spans="2:8" x14ac:dyDescent="0.35">
      <c r="B37" s="28" t="s">
        <v>65</v>
      </c>
      <c r="C37" s="26">
        <v>313154.31289999996</v>
      </c>
      <c r="D37" s="35" t="str">
        <f t="shared" si="0"/>
        <v>Automotive Sales 201903</v>
      </c>
      <c r="E37" s="33" t="str">
        <f t="shared" si="1"/>
        <v>Automotive Sales</v>
      </c>
      <c r="F37" s="36" t="str">
        <f t="shared" si="2"/>
        <v>03</v>
      </c>
      <c r="G37" s="36" t="str">
        <f t="shared" si="3"/>
        <v>2019</v>
      </c>
      <c r="H37" s="30">
        <f t="shared" si="4"/>
        <v>313154.31289999996</v>
      </c>
    </row>
    <row r="38" spans="2:8" x14ac:dyDescent="0.35">
      <c r="B38" s="28" t="s">
        <v>66</v>
      </c>
      <c r="C38" s="26">
        <v>32012</v>
      </c>
      <c r="D38" s="35" t="str">
        <f t="shared" si="0"/>
        <v>Automotive Sales Tooling 201903</v>
      </c>
      <c r="E38" s="33" t="str">
        <f t="shared" si="1"/>
        <v>Automotive Sales Tooling</v>
      </c>
      <c r="F38" s="36" t="str">
        <f t="shared" si="2"/>
        <v>03</v>
      </c>
      <c r="G38" s="36" t="str">
        <f t="shared" si="3"/>
        <v>2019</v>
      </c>
      <c r="H38" s="30">
        <f t="shared" si="4"/>
        <v>32012</v>
      </c>
    </row>
    <row r="39" spans="2:8" x14ac:dyDescent="0.35">
      <c r="B39" s="28" t="s">
        <v>67</v>
      </c>
      <c r="C39" s="26">
        <v>795176.59110000008</v>
      </c>
      <c r="D39" s="35" t="str">
        <f t="shared" si="0"/>
        <v>Bulk Sales 201903</v>
      </c>
      <c r="E39" s="33" t="str">
        <f t="shared" si="1"/>
        <v>Bulk Sales</v>
      </c>
      <c r="F39" s="36" t="str">
        <f t="shared" si="2"/>
        <v>03</v>
      </c>
      <c r="G39" s="36" t="str">
        <f t="shared" si="3"/>
        <v>2019</v>
      </c>
      <c r="H39" s="30">
        <f t="shared" si="4"/>
        <v>795176.59110000008</v>
      </c>
    </row>
    <row r="40" spans="2:8" x14ac:dyDescent="0.35">
      <c r="B40" s="28" t="s">
        <v>68</v>
      </c>
      <c r="C40" s="26">
        <v>547444.79999999993</v>
      </c>
      <c r="D40" s="35" t="str">
        <f t="shared" si="0"/>
        <v>Bulk Sales Tooling 201903</v>
      </c>
      <c r="E40" s="33" t="str">
        <f t="shared" si="1"/>
        <v>Bulk Sales Tooling</v>
      </c>
      <c r="F40" s="36" t="str">
        <f t="shared" si="2"/>
        <v>03</v>
      </c>
      <c r="G40" s="36" t="str">
        <f t="shared" si="3"/>
        <v>2019</v>
      </c>
      <c r="H40" s="30">
        <f t="shared" si="4"/>
        <v>547444.79999999993</v>
      </c>
    </row>
    <row r="41" spans="2:8" x14ac:dyDescent="0.35">
      <c r="B41" s="28" t="s">
        <v>69</v>
      </c>
      <c r="C41" s="26">
        <v>561853.53599999996</v>
      </c>
      <c r="D41" s="35" t="str">
        <f t="shared" si="0"/>
        <v>Consumer Sales 201903</v>
      </c>
      <c r="E41" s="33" t="str">
        <f t="shared" si="1"/>
        <v>Consumer Sales</v>
      </c>
      <c r="F41" s="36" t="str">
        <f t="shared" si="2"/>
        <v>03</v>
      </c>
      <c r="G41" s="36" t="str">
        <f t="shared" si="3"/>
        <v>2019</v>
      </c>
      <c r="H41" s="30">
        <f t="shared" si="4"/>
        <v>561853.53599999996</v>
      </c>
    </row>
    <row r="42" spans="2:8" x14ac:dyDescent="0.35">
      <c r="B42" s="28" t="s">
        <v>70</v>
      </c>
      <c r="C42" s="26">
        <v>0</v>
      </c>
      <c r="D42" s="35" t="str">
        <f t="shared" si="0"/>
        <v>Consumer Sales Tooling 201903</v>
      </c>
      <c r="E42" s="33" t="str">
        <f t="shared" si="1"/>
        <v>Consumer Sales Tooling</v>
      </c>
      <c r="F42" s="36" t="str">
        <f t="shared" si="2"/>
        <v>03</v>
      </c>
      <c r="G42" s="36" t="str">
        <f t="shared" si="3"/>
        <v>2019</v>
      </c>
      <c r="H42" s="30">
        <f t="shared" si="4"/>
        <v>0</v>
      </c>
    </row>
    <row r="43" spans="2:8" x14ac:dyDescent="0.35">
      <c r="B43" s="28" t="s">
        <v>71</v>
      </c>
      <c r="C43" s="26">
        <v>3885.12</v>
      </c>
      <c r="D43" s="35" t="str">
        <f t="shared" si="0"/>
        <v>Electronics Sales 201903</v>
      </c>
      <c r="E43" s="33" t="str">
        <f t="shared" si="1"/>
        <v>Electronics Sales</v>
      </c>
      <c r="F43" s="36" t="str">
        <f t="shared" si="2"/>
        <v>03</v>
      </c>
      <c r="G43" s="36" t="str">
        <f t="shared" si="3"/>
        <v>2019</v>
      </c>
      <c r="H43" s="30">
        <f t="shared" si="4"/>
        <v>3885.12</v>
      </c>
    </row>
    <row r="44" spans="2:8" x14ac:dyDescent="0.35">
      <c r="B44" s="28" t="s">
        <v>72</v>
      </c>
      <c r="C44" s="26">
        <v>0</v>
      </c>
      <c r="D44" s="35" t="str">
        <f t="shared" si="0"/>
        <v>Electronics Sales Tooling 201903</v>
      </c>
      <c r="E44" s="33" t="str">
        <f t="shared" si="1"/>
        <v>Electronics Sales Tooling</v>
      </c>
      <c r="F44" s="36" t="str">
        <f t="shared" si="2"/>
        <v>03</v>
      </c>
      <c r="G44" s="36" t="str">
        <f t="shared" si="3"/>
        <v>2019</v>
      </c>
      <c r="H44" s="30">
        <f t="shared" si="4"/>
        <v>0</v>
      </c>
    </row>
    <row r="45" spans="2:8" x14ac:dyDescent="0.35">
      <c r="B45" s="28" t="s">
        <v>73</v>
      </c>
      <c r="C45" s="26">
        <v>118260</v>
      </c>
      <c r="D45" s="35" t="str">
        <f t="shared" si="0"/>
        <v>Mechanic Sales 201903</v>
      </c>
      <c r="E45" s="33" t="str">
        <f t="shared" si="1"/>
        <v>Mechanic Sales</v>
      </c>
      <c r="F45" s="36" t="str">
        <f t="shared" si="2"/>
        <v>03</v>
      </c>
      <c r="G45" s="36" t="str">
        <f t="shared" si="3"/>
        <v>2019</v>
      </c>
      <c r="H45" s="30">
        <f t="shared" si="4"/>
        <v>118260</v>
      </c>
    </row>
    <row r="46" spans="2:8" x14ac:dyDescent="0.35">
      <c r="B46" s="28" t="s">
        <v>74</v>
      </c>
      <c r="C46" s="26">
        <v>14919.21</v>
      </c>
      <c r="D46" s="35" t="str">
        <f t="shared" si="0"/>
        <v>Mechanic Sales Tooling 201903</v>
      </c>
      <c r="E46" s="33" t="str">
        <f t="shared" si="1"/>
        <v>Mechanic Sales Tooling</v>
      </c>
      <c r="F46" s="36" t="str">
        <f t="shared" si="2"/>
        <v>03</v>
      </c>
      <c r="G46" s="36" t="str">
        <f t="shared" si="3"/>
        <v>2019</v>
      </c>
      <c r="H46" s="30">
        <f t="shared" si="4"/>
        <v>14919.21</v>
      </c>
    </row>
    <row r="47" spans="2:8" x14ac:dyDescent="0.35">
      <c r="B47" s="28" t="s">
        <v>75</v>
      </c>
      <c r="C47" s="26">
        <v>0</v>
      </c>
      <c r="D47" s="35" t="str">
        <f t="shared" si="0"/>
        <v>Non Operating sales201903</v>
      </c>
      <c r="E47" s="33" t="str">
        <f t="shared" si="1"/>
        <v>Non Operating sale</v>
      </c>
      <c r="F47" s="36" t="str">
        <f t="shared" si="2"/>
        <v>03</v>
      </c>
      <c r="G47" s="36" t="str">
        <f t="shared" si="3"/>
        <v>2019</v>
      </c>
      <c r="H47" s="30">
        <f t="shared" si="4"/>
        <v>0</v>
      </c>
    </row>
    <row r="48" spans="2:8" x14ac:dyDescent="0.35">
      <c r="B48" s="28" t="s">
        <v>76</v>
      </c>
      <c r="C48" s="26">
        <v>259910.63440000001</v>
      </c>
      <c r="D48" s="35" t="str">
        <f t="shared" si="0"/>
        <v>Partner Sales 201903</v>
      </c>
      <c r="E48" s="33" t="str">
        <f t="shared" si="1"/>
        <v>Partner Sales</v>
      </c>
      <c r="F48" s="36" t="str">
        <f t="shared" si="2"/>
        <v>03</v>
      </c>
      <c r="G48" s="36" t="str">
        <f t="shared" si="3"/>
        <v>2019</v>
      </c>
      <c r="H48" s="30">
        <f t="shared" si="4"/>
        <v>259910.63440000001</v>
      </c>
    </row>
    <row r="49" spans="2:8" x14ac:dyDescent="0.35">
      <c r="B49" s="28" t="s">
        <v>77</v>
      </c>
      <c r="C49" s="26">
        <v>112703.90999999999</v>
      </c>
      <c r="D49" s="35" t="str">
        <f t="shared" si="0"/>
        <v>Partner Sales Tooling 201903</v>
      </c>
      <c r="E49" s="33" t="str">
        <f t="shared" si="1"/>
        <v>Partner Sales Tooling</v>
      </c>
      <c r="F49" s="36" t="str">
        <f t="shared" si="2"/>
        <v>03</v>
      </c>
      <c r="G49" s="36" t="str">
        <f t="shared" si="3"/>
        <v>2019</v>
      </c>
      <c r="H49" s="30">
        <f t="shared" si="4"/>
        <v>112703.90999999999</v>
      </c>
    </row>
    <row r="50" spans="2:8" x14ac:dyDescent="0.35">
      <c r="B50" s="28" t="s">
        <v>78</v>
      </c>
      <c r="C50" s="26">
        <v>-3621.9959999999996</v>
      </c>
      <c r="D50" s="35" t="str">
        <f t="shared" si="0"/>
        <v>Sales - Discounts 201903</v>
      </c>
      <c r="E50" s="33" t="str">
        <f t="shared" si="1"/>
        <v>Sales - Discounts</v>
      </c>
      <c r="F50" s="36" t="str">
        <f t="shared" si="2"/>
        <v>03</v>
      </c>
      <c r="G50" s="36" t="str">
        <f t="shared" si="3"/>
        <v>2019</v>
      </c>
      <c r="H50" s="30">
        <f t="shared" si="4"/>
        <v>-3621.9959999999996</v>
      </c>
    </row>
    <row r="51" spans="2:8" x14ac:dyDescent="0.35">
      <c r="B51" s="28" t="s">
        <v>79</v>
      </c>
      <c r="C51" s="26">
        <v>5450.4402</v>
      </c>
      <c r="D51" s="35" t="str">
        <f t="shared" si="0"/>
        <v>Sales - Freight Out 201903</v>
      </c>
      <c r="E51" s="33" t="str">
        <f t="shared" si="1"/>
        <v>Sales - Freight Out</v>
      </c>
      <c r="F51" s="36" t="str">
        <f t="shared" si="2"/>
        <v>03</v>
      </c>
      <c r="G51" s="36" t="str">
        <f t="shared" si="3"/>
        <v>2019</v>
      </c>
      <c r="H51" s="30">
        <f t="shared" si="4"/>
        <v>5450.4402</v>
      </c>
    </row>
    <row r="52" spans="2:8" x14ac:dyDescent="0.35">
      <c r="B52" s="28" t="s">
        <v>80</v>
      </c>
      <c r="C52" s="26">
        <v>-1875</v>
      </c>
      <c r="D52" s="35" t="str">
        <f t="shared" si="0"/>
        <v>Sales - Returns 201903</v>
      </c>
      <c r="E52" s="33" t="str">
        <f t="shared" si="1"/>
        <v>Sales - Returns</v>
      </c>
      <c r="F52" s="36" t="str">
        <f t="shared" si="2"/>
        <v>03</v>
      </c>
      <c r="G52" s="36" t="str">
        <f t="shared" si="3"/>
        <v>2019</v>
      </c>
      <c r="H52" s="30">
        <f t="shared" si="4"/>
        <v>-1875</v>
      </c>
    </row>
    <row r="53" spans="2:8" x14ac:dyDescent="0.35">
      <c r="B53" s="28" t="s">
        <v>81</v>
      </c>
      <c r="C53" s="26">
        <v>210869.11560000002</v>
      </c>
      <c r="D53" s="35" t="str">
        <f t="shared" si="0"/>
        <v>Automotive Sales 201904</v>
      </c>
      <c r="E53" s="33" t="str">
        <f t="shared" si="1"/>
        <v>Automotive Sales</v>
      </c>
      <c r="F53" s="36" t="str">
        <f t="shared" si="2"/>
        <v>04</v>
      </c>
      <c r="G53" s="36" t="str">
        <f t="shared" si="3"/>
        <v>2019</v>
      </c>
      <c r="H53" s="30">
        <f t="shared" si="4"/>
        <v>210869.11560000002</v>
      </c>
    </row>
    <row r="54" spans="2:8" x14ac:dyDescent="0.35">
      <c r="B54" s="28" t="s">
        <v>82</v>
      </c>
      <c r="C54" s="26">
        <v>49820</v>
      </c>
      <c r="D54" s="35" t="str">
        <f t="shared" si="0"/>
        <v>Automotive Sales Tooling 201904</v>
      </c>
      <c r="E54" s="33" t="str">
        <f t="shared" si="1"/>
        <v>Automotive Sales Tooling</v>
      </c>
      <c r="F54" s="36" t="str">
        <f t="shared" si="2"/>
        <v>04</v>
      </c>
      <c r="G54" s="36" t="str">
        <f t="shared" si="3"/>
        <v>2019</v>
      </c>
      <c r="H54" s="30">
        <f t="shared" si="4"/>
        <v>49820</v>
      </c>
    </row>
    <row r="55" spans="2:8" x14ac:dyDescent="0.35">
      <c r="B55" s="28" t="s">
        <v>83</v>
      </c>
      <c r="C55" s="26">
        <v>666805.33730000001</v>
      </c>
      <c r="D55" s="35" t="str">
        <f t="shared" si="0"/>
        <v>Bulk Sales 201904</v>
      </c>
      <c r="E55" s="33" t="str">
        <f t="shared" si="1"/>
        <v>Bulk Sales</v>
      </c>
      <c r="F55" s="36" t="str">
        <f t="shared" si="2"/>
        <v>04</v>
      </c>
      <c r="G55" s="36" t="str">
        <f t="shared" si="3"/>
        <v>2019</v>
      </c>
      <c r="H55" s="30">
        <f t="shared" si="4"/>
        <v>666805.33730000001</v>
      </c>
    </row>
    <row r="56" spans="2:8" x14ac:dyDescent="0.35">
      <c r="B56" s="28" t="s">
        <v>84</v>
      </c>
      <c r="C56" s="26">
        <v>3024</v>
      </c>
      <c r="D56" s="35" t="str">
        <f t="shared" si="0"/>
        <v>Bulk Sales Tooling 201904</v>
      </c>
      <c r="E56" s="33" t="str">
        <f t="shared" si="1"/>
        <v>Bulk Sales Tooling</v>
      </c>
      <c r="F56" s="36" t="str">
        <f t="shared" si="2"/>
        <v>04</v>
      </c>
      <c r="G56" s="36" t="str">
        <f t="shared" si="3"/>
        <v>2019</v>
      </c>
      <c r="H56" s="30">
        <f t="shared" si="4"/>
        <v>3024</v>
      </c>
    </row>
    <row r="57" spans="2:8" x14ac:dyDescent="0.35">
      <c r="B57" s="28" t="s">
        <v>85</v>
      </c>
      <c r="C57" s="26">
        <v>376897.0175999999</v>
      </c>
      <c r="D57" s="35" t="str">
        <f t="shared" si="0"/>
        <v>Consumer Sales 201904</v>
      </c>
      <c r="E57" s="33" t="str">
        <f t="shared" si="1"/>
        <v>Consumer Sales</v>
      </c>
      <c r="F57" s="36" t="str">
        <f t="shared" si="2"/>
        <v>04</v>
      </c>
      <c r="G57" s="36" t="str">
        <f t="shared" si="3"/>
        <v>2019</v>
      </c>
      <c r="H57" s="30">
        <f t="shared" si="4"/>
        <v>376897.0175999999</v>
      </c>
    </row>
    <row r="58" spans="2:8" x14ac:dyDescent="0.35">
      <c r="B58" s="28" t="s">
        <v>86</v>
      </c>
      <c r="C58" s="26">
        <v>0</v>
      </c>
      <c r="D58" s="35" t="str">
        <f t="shared" si="0"/>
        <v>Consumer Sales Tooling 201904</v>
      </c>
      <c r="E58" s="33" t="str">
        <f t="shared" si="1"/>
        <v>Consumer Sales Tooling</v>
      </c>
      <c r="F58" s="36" t="str">
        <f t="shared" si="2"/>
        <v>04</v>
      </c>
      <c r="G58" s="36" t="str">
        <f t="shared" si="3"/>
        <v>2019</v>
      </c>
      <c r="H58" s="30">
        <f t="shared" si="4"/>
        <v>0</v>
      </c>
    </row>
    <row r="59" spans="2:8" x14ac:dyDescent="0.35">
      <c r="B59" s="28" t="s">
        <v>87</v>
      </c>
      <c r="C59" s="26">
        <v>3845.8079999999995</v>
      </c>
      <c r="D59" s="35" t="str">
        <f t="shared" si="0"/>
        <v>Electronics Sales 201904</v>
      </c>
      <c r="E59" s="33" t="str">
        <f t="shared" si="1"/>
        <v>Electronics Sales</v>
      </c>
      <c r="F59" s="36" t="str">
        <f t="shared" si="2"/>
        <v>04</v>
      </c>
      <c r="G59" s="36" t="str">
        <f t="shared" si="3"/>
        <v>2019</v>
      </c>
      <c r="H59" s="30">
        <f t="shared" si="4"/>
        <v>3845.8079999999995</v>
      </c>
    </row>
    <row r="60" spans="2:8" x14ac:dyDescent="0.35">
      <c r="B60" s="28" t="s">
        <v>88</v>
      </c>
      <c r="C60" s="26">
        <v>0</v>
      </c>
      <c r="D60" s="35" t="str">
        <f t="shared" si="0"/>
        <v>Electronics Sales Tooling 201904</v>
      </c>
      <c r="E60" s="33" t="str">
        <f t="shared" si="1"/>
        <v>Electronics Sales Tooling</v>
      </c>
      <c r="F60" s="36" t="str">
        <f t="shared" si="2"/>
        <v>04</v>
      </c>
      <c r="G60" s="36" t="str">
        <f t="shared" si="3"/>
        <v>2019</v>
      </c>
      <c r="H60" s="30">
        <f t="shared" si="4"/>
        <v>0</v>
      </c>
    </row>
    <row r="61" spans="2:8" x14ac:dyDescent="0.35">
      <c r="B61" s="28" t="s">
        <v>89</v>
      </c>
      <c r="C61" s="26">
        <v>59701.59</v>
      </c>
      <c r="D61" s="35" t="str">
        <f t="shared" si="0"/>
        <v>Mechanic Sales 201904</v>
      </c>
      <c r="E61" s="33" t="str">
        <f t="shared" si="1"/>
        <v>Mechanic Sales</v>
      </c>
      <c r="F61" s="36" t="str">
        <f t="shared" si="2"/>
        <v>04</v>
      </c>
      <c r="G61" s="36" t="str">
        <f t="shared" si="3"/>
        <v>2019</v>
      </c>
      <c r="H61" s="30">
        <f t="shared" si="4"/>
        <v>59701.59</v>
      </c>
    </row>
    <row r="62" spans="2:8" x14ac:dyDescent="0.35">
      <c r="B62" s="28" t="s">
        <v>90</v>
      </c>
      <c r="C62" s="26">
        <v>0</v>
      </c>
      <c r="D62" s="35" t="str">
        <f t="shared" si="0"/>
        <v>Mechanic Sales Tooling 201904</v>
      </c>
      <c r="E62" s="33" t="str">
        <f t="shared" si="1"/>
        <v>Mechanic Sales Tooling</v>
      </c>
      <c r="F62" s="36" t="str">
        <f t="shared" si="2"/>
        <v>04</v>
      </c>
      <c r="G62" s="36" t="str">
        <f t="shared" si="3"/>
        <v>2019</v>
      </c>
      <c r="H62" s="30">
        <f t="shared" si="4"/>
        <v>0</v>
      </c>
    </row>
    <row r="63" spans="2:8" x14ac:dyDescent="0.35">
      <c r="B63" s="28" t="s">
        <v>91</v>
      </c>
      <c r="C63" s="26">
        <v>0</v>
      </c>
      <c r="D63" s="35" t="str">
        <f t="shared" si="0"/>
        <v>Non Operating sales201904</v>
      </c>
      <c r="E63" s="33" t="str">
        <f t="shared" si="1"/>
        <v>Non Operating sale</v>
      </c>
      <c r="F63" s="36" t="str">
        <f t="shared" si="2"/>
        <v>04</v>
      </c>
      <c r="G63" s="36" t="str">
        <f t="shared" si="3"/>
        <v>2019</v>
      </c>
      <c r="H63" s="30">
        <f t="shared" si="4"/>
        <v>0</v>
      </c>
    </row>
    <row r="64" spans="2:8" x14ac:dyDescent="0.35">
      <c r="B64" s="28" t="s">
        <v>92</v>
      </c>
      <c r="C64" s="26">
        <v>125345.04720000002</v>
      </c>
      <c r="D64" s="35" t="str">
        <f t="shared" si="0"/>
        <v>Partner Sales 201904</v>
      </c>
      <c r="E64" s="33" t="str">
        <f t="shared" si="1"/>
        <v>Partner Sales</v>
      </c>
      <c r="F64" s="36" t="str">
        <f t="shared" si="2"/>
        <v>04</v>
      </c>
      <c r="G64" s="36" t="str">
        <f t="shared" si="3"/>
        <v>2019</v>
      </c>
      <c r="H64" s="30">
        <f t="shared" si="4"/>
        <v>125345.04720000002</v>
      </c>
    </row>
    <row r="65" spans="2:8" x14ac:dyDescent="0.35">
      <c r="B65" s="28" t="s">
        <v>93</v>
      </c>
      <c r="C65" s="26">
        <v>-12090</v>
      </c>
      <c r="D65" s="35" t="str">
        <f t="shared" si="0"/>
        <v>Partner Sales Tooling 201904</v>
      </c>
      <c r="E65" s="33" t="str">
        <f t="shared" si="1"/>
        <v>Partner Sales Tooling</v>
      </c>
      <c r="F65" s="36" t="str">
        <f t="shared" si="2"/>
        <v>04</v>
      </c>
      <c r="G65" s="36" t="str">
        <f t="shared" si="3"/>
        <v>2019</v>
      </c>
      <c r="H65" s="30">
        <f t="shared" si="4"/>
        <v>-12090</v>
      </c>
    </row>
    <row r="66" spans="2:8" x14ac:dyDescent="0.35">
      <c r="B66" s="28" t="s">
        <v>94</v>
      </c>
      <c r="C66" s="26">
        <v>-2120.6779999999999</v>
      </c>
      <c r="D66" s="35" t="str">
        <f t="shared" si="0"/>
        <v>Sales - Discounts 201904</v>
      </c>
      <c r="E66" s="33" t="str">
        <f t="shared" si="1"/>
        <v>Sales - Discounts</v>
      </c>
      <c r="F66" s="36" t="str">
        <f t="shared" si="2"/>
        <v>04</v>
      </c>
      <c r="G66" s="36" t="str">
        <f t="shared" si="3"/>
        <v>2019</v>
      </c>
      <c r="H66" s="30">
        <f t="shared" si="4"/>
        <v>-2120.6779999999999</v>
      </c>
    </row>
    <row r="67" spans="2:8" x14ac:dyDescent="0.35">
      <c r="B67" s="28" t="s">
        <v>95</v>
      </c>
      <c r="C67" s="26">
        <v>26.493400000000001</v>
      </c>
      <c r="D67" s="35" t="str">
        <f t="shared" si="0"/>
        <v>Sales - Freight Out 201904</v>
      </c>
      <c r="E67" s="33" t="str">
        <f t="shared" si="1"/>
        <v>Sales - Freight Out</v>
      </c>
      <c r="F67" s="36" t="str">
        <f t="shared" si="2"/>
        <v>04</v>
      </c>
      <c r="G67" s="36" t="str">
        <f t="shared" si="3"/>
        <v>2019</v>
      </c>
      <c r="H67" s="30">
        <f t="shared" si="4"/>
        <v>26.493400000000001</v>
      </c>
    </row>
    <row r="68" spans="2:8" x14ac:dyDescent="0.35">
      <c r="B68" s="28" t="s">
        <v>96</v>
      </c>
      <c r="C68" s="26">
        <v>-4716.8125</v>
      </c>
      <c r="D68" s="35" t="str">
        <f t="shared" si="0"/>
        <v>Sales - Returns 201904</v>
      </c>
      <c r="E68" s="33" t="str">
        <f t="shared" si="1"/>
        <v>Sales - Returns</v>
      </c>
      <c r="F68" s="36" t="str">
        <f t="shared" si="2"/>
        <v>04</v>
      </c>
      <c r="G68" s="36" t="str">
        <f t="shared" si="3"/>
        <v>2019</v>
      </c>
      <c r="H68" s="30">
        <f t="shared" si="4"/>
        <v>-4716.8125</v>
      </c>
    </row>
    <row r="69" spans="2:8" x14ac:dyDescent="0.35">
      <c r="B69" s="28" t="s">
        <v>97</v>
      </c>
      <c r="C69" s="26">
        <v>352905.36709999997</v>
      </c>
      <c r="D69" s="35" t="str">
        <f t="shared" si="0"/>
        <v>Automotive Sales 201905</v>
      </c>
      <c r="E69" s="33" t="str">
        <f t="shared" si="1"/>
        <v>Automotive Sales</v>
      </c>
      <c r="F69" s="36" t="str">
        <f t="shared" si="2"/>
        <v>05</v>
      </c>
      <c r="G69" s="36" t="str">
        <f t="shared" si="3"/>
        <v>2019</v>
      </c>
      <c r="H69" s="30">
        <f t="shared" si="4"/>
        <v>352905.36709999997</v>
      </c>
    </row>
    <row r="70" spans="2:8" x14ac:dyDescent="0.35">
      <c r="B70" s="28" t="s">
        <v>98</v>
      </c>
      <c r="C70" s="26">
        <v>0</v>
      </c>
      <c r="D70" s="35" t="str">
        <f t="shared" ref="D70:D133" si="5">TRIM(B70)</f>
        <v>Automotive Sales Tooling 201905</v>
      </c>
      <c r="E70" s="33" t="str">
        <f t="shared" ref="E70:E133" si="6">LEFT(D70,LEN(D70)-7)</f>
        <v>Automotive Sales Tooling</v>
      </c>
      <c r="F70" s="36" t="str">
        <f t="shared" ref="F70:F133" si="7">RIGHT(D70,2)</f>
        <v>05</v>
      </c>
      <c r="G70" s="36" t="str">
        <f t="shared" ref="G70:G133" si="8">RIGHT(LEFT(D70,LEN(D70)-2),4)</f>
        <v>2019</v>
      </c>
      <c r="H70" s="30">
        <f t="shared" ref="H70:H133" si="9">C70</f>
        <v>0</v>
      </c>
    </row>
    <row r="71" spans="2:8" x14ac:dyDescent="0.35">
      <c r="B71" s="28" t="s">
        <v>99</v>
      </c>
      <c r="C71" s="26">
        <v>695795.80280000006</v>
      </c>
      <c r="D71" s="35" t="str">
        <f t="shared" si="5"/>
        <v>Bulk Sales 201905</v>
      </c>
      <c r="E71" s="33" t="str">
        <f t="shared" si="6"/>
        <v>Bulk Sales</v>
      </c>
      <c r="F71" s="36" t="str">
        <f t="shared" si="7"/>
        <v>05</v>
      </c>
      <c r="G71" s="36" t="str">
        <f t="shared" si="8"/>
        <v>2019</v>
      </c>
      <c r="H71" s="30">
        <f t="shared" si="9"/>
        <v>695795.80280000006</v>
      </c>
    </row>
    <row r="72" spans="2:8" x14ac:dyDescent="0.35">
      <c r="B72" s="28" t="s">
        <v>100</v>
      </c>
      <c r="C72" s="26">
        <v>68950.080000000002</v>
      </c>
      <c r="D72" s="35" t="str">
        <f t="shared" si="5"/>
        <v>Bulk Sales Tooling 201905</v>
      </c>
      <c r="E72" s="33" t="str">
        <f t="shared" si="6"/>
        <v>Bulk Sales Tooling</v>
      </c>
      <c r="F72" s="36" t="str">
        <f t="shared" si="7"/>
        <v>05</v>
      </c>
      <c r="G72" s="36" t="str">
        <f t="shared" si="8"/>
        <v>2019</v>
      </c>
      <c r="H72" s="30">
        <f t="shared" si="9"/>
        <v>68950.080000000002</v>
      </c>
    </row>
    <row r="73" spans="2:8" x14ac:dyDescent="0.35">
      <c r="B73" s="28" t="s">
        <v>101</v>
      </c>
      <c r="C73" s="26">
        <v>355823.42319999996</v>
      </c>
      <c r="D73" s="35" t="str">
        <f t="shared" si="5"/>
        <v>Consumer Sales 201905</v>
      </c>
      <c r="E73" s="33" t="str">
        <f t="shared" si="6"/>
        <v>Consumer Sales</v>
      </c>
      <c r="F73" s="36" t="str">
        <f t="shared" si="7"/>
        <v>05</v>
      </c>
      <c r="G73" s="36" t="str">
        <f t="shared" si="8"/>
        <v>2019</v>
      </c>
      <c r="H73" s="30">
        <f t="shared" si="9"/>
        <v>355823.42319999996</v>
      </c>
    </row>
    <row r="74" spans="2:8" x14ac:dyDescent="0.35">
      <c r="B74" s="28" t="s">
        <v>102</v>
      </c>
      <c r="C74" s="26">
        <v>55908</v>
      </c>
      <c r="D74" s="35" t="str">
        <f t="shared" si="5"/>
        <v>Consumer Sales Tooling 201905</v>
      </c>
      <c r="E74" s="33" t="str">
        <f t="shared" si="6"/>
        <v>Consumer Sales Tooling</v>
      </c>
      <c r="F74" s="36" t="str">
        <f t="shared" si="7"/>
        <v>05</v>
      </c>
      <c r="G74" s="36" t="str">
        <f t="shared" si="8"/>
        <v>2019</v>
      </c>
      <c r="H74" s="30">
        <f t="shared" si="9"/>
        <v>55908</v>
      </c>
    </row>
    <row r="75" spans="2:8" x14ac:dyDescent="0.35">
      <c r="B75" s="28" t="s">
        <v>103</v>
      </c>
      <c r="C75" s="26">
        <v>1082.7359999999999</v>
      </c>
      <c r="D75" s="35" t="str">
        <f t="shared" si="5"/>
        <v>Electronics Sales 201905</v>
      </c>
      <c r="E75" s="33" t="str">
        <f t="shared" si="6"/>
        <v>Electronics Sales</v>
      </c>
      <c r="F75" s="36" t="str">
        <f t="shared" si="7"/>
        <v>05</v>
      </c>
      <c r="G75" s="36" t="str">
        <f t="shared" si="8"/>
        <v>2019</v>
      </c>
      <c r="H75" s="30">
        <f t="shared" si="9"/>
        <v>1082.7359999999999</v>
      </c>
    </row>
    <row r="76" spans="2:8" x14ac:dyDescent="0.35">
      <c r="B76" s="28" t="s">
        <v>104</v>
      </c>
      <c r="C76" s="26">
        <v>0</v>
      </c>
      <c r="D76" s="35" t="str">
        <f t="shared" si="5"/>
        <v>Electronics Sales Tooling 201905</v>
      </c>
      <c r="E76" s="33" t="str">
        <f t="shared" si="6"/>
        <v>Electronics Sales Tooling</v>
      </c>
      <c r="F76" s="36" t="str">
        <f t="shared" si="7"/>
        <v>05</v>
      </c>
      <c r="G76" s="36" t="str">
        <f t="shared" si="8"/>
        <v>2019</v>
      </c>
      <c r="H76" s="30">
        <f t="shared" si="9"/>
        <v>0</v>
      </c>
    </row>
    <row r="77" spans="2:8" x14ac:dyDescent="0.35">
      <c r="B77" s="28" t="s">
        <v>105</v>
      </c>
      <c r="C77" s="26">
        <v>0</v>
      </c>
      <c r="D77" s="35" t="str">
        <f t="shared" si="5"/>
        <v>Mechanic Sales 201905</v>
      </c>
      <c r="E77" s="33" t="str">
        <f t="shared" si="6"/>
        <v>Mechanic Sales</v>
      </c>
      <c r="F77" s="36" t="str">
        <f t="shared" si="7"/>
        <v>05</v>
      </c>
      <c r="G77" s="36" t="str">
        <f t="shared" si="8"/>
        <v>2019</v>
      </c>
      <c r="H77" s="30">
        <f t="shared" si="9"/>
        <v>0</v>
      </c>
    </row>
    <row r="78" spans="2:8" x14ac:dyDescent="0.35">
      <c r="B78" s="28" t="s">
        <v>106</v>
      </c>
      <c r="C78" s="26">
        <v>34968</v>
      </c>
      <c r="D78" s="35" t="str">
        <f t="shared" si="5"/>
        <v>Mechanic Sales Tooling 201905</v>
      </c>
      <c r="E78" s="33" t="str">
        <f t="shared" si="6"/>
        <v>Mechanic Sales Tooling</v>
      </c>
      <c r="F78" s="36" t="str">
        <f t="shared" si="7"/>
        <v>05</v>
      </c>
      <c r="G78" s="36" t="str">
        <f t="shared" si="8"/>
        <v>2019</v>
      </c>
      <c r="H78" s="30">
        <f t="shared" si="9"/>
        <v>34968</v>
      </c>
    </row>
    <row r="79" spans="2:8" x14ac:dyDescent="0.35">
      <c r="B79" s="28" t="s">
        <v>107</v>
      </c>
      <c r="C79" s="26">
        <v>0</v>
      </c>
      <c r="D79" s="35" t="str">
        <f t="shared" si="5"/>
        <v>Non Operating sales201905</v>
      </c>
      <c r="E79" s="33" t="str">
        <f t="shared" si="6"/>
        <v>Non Operating sale</v>
      </c>
      <c r="F79" s="36" t="str">
        <f t="shared" si="7"/>
        <v>05</v>
      </c>
      <c r="G79" s="36" t="str">
        <f t="shared" si="8"/>
        <v>2019</v>
      </c>
      <c r="H79" s="30">
        <f t="shared" si="9"/>
        <v>0</v>
      </c>
    </row>
    <row r="80" spans="2:8" x14ac:dyDescent="0.35">
      <c r="B80" s="28" t="s">
        <v>108</v>
      </c>
      <c r="C80" s="26">
        <v>165952.54120000001</v>
      </c>
      <c r="D80" s="35" t="str">
        <f t="shared" si="5"/>
        <v>Partner Sales 201905</v>
      </c>
      <c r="E80" s="33" t="str">
        <f t="shared" si="6"/>
        <v>Partner Sales</v>
      </c>
      <c r="F80" s="36" t="str">
        <f t="shared" si="7"/>
        <v>05</v>
      </c>
      <c r="G80" s="36" t="str">
        <f t="shared" si="8"/>
        <v>2019</v>
      </c>
      <c r="H80" s="30">
        <f t="shared" si="9"/>
        <v>165952.54120000001</v>
      </c>
    </row>
    <row r="81" spans="2:8" x14ac:dyDescent="0.35">
      <c r="B81" s="28" t="s">
        <v>109</v>
      </c>
      <c r="C81" s="26">
        <v>42082.5</v>
      </c>
      <c r="D81" s="35" t="str">
        <f t="shared" si="5"/>
        <v>Partner Sales Tooling 201905</v>
      </c>
      <c r="E81" s="33" t="str">
        <f t="shared" si="6"/>
        <v>Partner Sales Tooling</v>
      </c>
      <c r="F81" s="36" t="str">
        <f t="shared" si="7"/>
        <v>05</v>
      </c>
      <c r="G81" s="36" t="str">
        <f t="shared" si="8"/>
        <v>2019</v>
      </c>
      <c r="H81" s="30">
        <f t="shared" si="9"/>
        <v>42082.5</v>
      </c>
    </row>
    <row r="82" spans="2:8" x14ac:dyDescent="0.35">
      <c r="B82" s="28" t="s">
        <v>110</v>
      </c>
      <c r="C82" s="26">
        <v>-1826.4259999999997</v>
      </c>
      <c r="D82" s="35" t="str">
        <f t="shared" si="5"/>
        <v>Sales - Discounts 201905</v>
      </c>
      <c r="E82" s="33" t="str">
        <f t="shared" si="6"/>
        <v>Sales - Discounts</v>
      </c>
      <c r="F82" s="36" t="str">
        <f t="shared" si="7"/>
        <v>05</v>
      </c>
      <c r="G82" s="36" t="str">
        <f t="shared" si="8"/>
        <v>2019</v>
      </c>
      <c r="H82" s="30">
        <f t="shared" si="9"/>
        <v>-1826.4259999999997</v>
      </c>
    </row>
    <row r="83" spans="2:8" x14ac:dyDescent="0.35">
      <c r="B83" s="28" t="s">
        <v>111</v>
      </c>
      <c r="C83" s="26">
        <v>211.44680000000002</v>
      </c>
      <c r="D83" s="35" t="str">
        <f t="shared" si="5"/>
        <v>Sales - Freight Out 201905</v>
      </c>
      <c r="E83" s="33" t="str">
        <f t="shared" si="6"/>
        <v>Sales - Freight Out</v>
      </c>
      <c r="F83" s="36" t="str">
        <f t="shared" si="7"/>
        <v>05</v>
      </c>
      <c r="G83" s="36" t="str">
        <f t="shared" si="8"/>
        <v>2019</v>
      </c>
      <c r="H83" s="30">
        <f t="shared" si="9"/>
        <v>211.44680000000002</v>
      </c>
    </row>
    <row r="84" spans="2:8" x14ac:dyDescent="0.35">
      <c r="B84" s="28" t="s">
        <v>112</v>
      </c>
      <c r="C84" s="26">
        <v>-1689.25</v>
      </c>
      <c r="D84" s="35" t="str">
        <f t="shared" si="5"/>
        <v>Sales - Returns 201905</v>
      </c>
      <c r="E84" s="33" t="str">
        <f t="shared" si="6"/>
        <v>Sales - Returns</v>
      </c>
      <c r="F84" s="36" t="str">
        <f t="shared" si="7"/>
        <v>05</v>
      </c>
      <c r="G84" s="36" t="str">
        <f t="shared" si="8"/>
        <v>2019</v>
      </c>
      <c r="H84" s="30">
        <f t="shared" si="9"/>
        <v>-1689.25</v>
      </c>
    </row>
    <row r="85" spans="2:8" x14ac:dyDescent="0.35">
      <c r="B85" s="28" t="s">
        <v>113</v>
      </c>
      <c r="C85" s="26">
        <v>243880.00779999999</v>
      </c>
      <c r="D85" s="35" t="str">
        <f t="shared" si="5"/>
        <v>Automotive Sales 201906</v>
      </c>
      <c r="E85" s="33" t="str">
        <f t="shared" si="6"/>
        <v>Automotive Sales</v>
      </c>
      <c r="F85" s="36" t="str">
        <f t="shared" si="7"/>
        <v>06</v>
      </c>
      <c r="G85" s="36" t="str">
        <f t="shared" si="8"/>
        <v>2019</v>
      </c>
      <c r="H85" s="30">
        <f t="shared" si="9"/>
        <v>243880.00779999999</v>
      </c>
    </row>
    <row r="86" spans="2:8" x14ac:dyDescent="0.35">
      <c r="B86" s="28" t="s">
        <v>114</v>
      </c>
      <c r="C86" s="26">
        <v>50297</v>
      </c>
      <c r="D86" s="35" t="str">
        <f t="shared" si="5"/>
        <v>Automotive Sales Tooling 201906</v>
      </c>
      <c r="E86" s="33" t="str">
        <f t="shared" si="6"/>
        <v>Automotive Sales Tooling</v>
      </c>
      <c r="F86" s="36" t="str">
        <f t="shared" si="7"/>
        <v>06</v>
      </c>
      <c r="G86" s="36" t="str">
        <f t="shared" si="8"/>
        <v>2019</v>
      </c>
      <c r="H86" s="30">
        <f t="shared" si="9"/>
        <v>50297</v>
      </c>
    </row>
    <row r="87" spans="2:8" x14ac:dyDescent="0.35">
      <c r="B87" s="28" t="s">
        <v>115</v>
      </c>
      <c r="C87" s="26">
        <v>686437.23860000004</v>
      </c>
      <c r="D87" s="35" t="str">
        <f t="shared" si="5"/>
        <v>Bulk Sales 201906</v>
      </c>
      <c r="E87" s="33" t="str">
        <f t="shared" si="6"/>
        <v>Bulk Sales</v>
      </c>
      <c r="F87" s="36" t="str">
        <f t="shared" si="7"/>
        <v>06</v>
      </c>
      <c r="G87" s="36" t="str">
        <f t="shared" si="8"/>
        <v>2019</v>
      </c>
      <c r="H87" s="30">
        <f t="shared" si="9"/>
        <v>686437.23860000004</v>
      </c>
    </row>
    <row r="88" spans="2:8" x14ac:dyDescent="0.35">
      <c r="B88" s="28" t="s">
        <v>116</v>
      </c>
      <c r="C88" s="26">
        <v>166046.39999999999</v>
      </c>
      <c r="D88" s="35" t="str">
        <f t="shared" si="5"/>
        <v>Bulk Sales Tooling 201906</v>
      </c>
      <c r="E88" s="33" t="str">
        <f t="shared" si="6"/>
        <v>Bulk Sales Tooling</v>
      </c>
      <c r="F88" s="36" t="str">
        <f t="shared" si="7"/>
        <v>06</v>
      </c>
      <c r="G88" s="36" t="str">
        <f t="shared" si="8"/>
        <v>2019</v>
      </c>
      <c r="H88" s="30">
        <f t="shared" si="9"/>
        <v>166046.39999999999</v>
      </c>
    </row>
    <row r="89" spans="2:8" x14ac:dyDescent="0.35">
      <c r="B89" s="28" t="s">
        <v>117</v>
      </c>
      <c r="C89" s="26">
        <v>454665.72080000001</v>
      </c>
      <c r="D89" s="35" t="str">
        <f t="shared" si="5"/>
        <v>Consumer Sales 201906</v>
      </c>
      <c r="E89" s="33" t="str">
        <f t="shared" si="6"/>
        <v>Consumer Sales</v>
      </c>
      <c r="F89" s="36" t="str">
        <f t="shared" si="7"/>
        <v>06</v>
      </c>
      <c r="G89" s="36" t="str">
        <f t="shared" si="8"/>
        <v>2019</v>
      </c>
      <c r="H89" s="30">
        <f t="shared" si="9"/>
        <v>454665.72080000001</v>
      </c>
    </row>
    <row r="90" spans="2:8" x14ac:dyDescent="0.35">
      <c r="B90" s="28" t="s">
        <v>118</v>
      </c>
      <c r="C90" s="26">
        <v>0</v>
      </c>
      <c r="D90" s="35" t="str">
        <f t="shared" si="5"/>
        <v>Consumer Sales Tooling 201906</v>
      </c>
      <c r="E90" s="33" t="str">
        <f t="shared" si="6"/>
        <v>Consumer Sales Tooling</v>
      </c>
      <c r="F90" s="36" t="str">
        <f t="shared" si="7"/>
        <v>06</v>
      </c>
      <c r="G90" s="36" t="str">
        <f t="shared" si="8"/>
        <v>2019</v>
      </c>
      <c r="H90" s="30">
        <f t="shared" si="9"/>
        <v>0</v>
      </c>
    </row>
    <row r="91" spans="2:8" x14ac:dyDescent="0.35">
      <c r="B91" s="28" t="s">
        <v>119</v>
      </c>
      <c r="C91" s="26">
        <v>9259.7759999999998</v>
      </c>
      <c r="D91" s="35" t="str">
        <f t="shared" si="5"/>
        <v>Electronics Sales 201906</v>
      </c>
      <c r="E91" s="33" t="str">
        <f t="shared" si="6"/>
        <v>Electronics Sales</v>
      </c>
      <c r="F91" s="36" t="str">
        <f t="shared" si="7"/>
        <v>06</v>
      </c>
      <c r="G91" s="36" t="str">
        <f t="shared" si="8"/>
        <v>2019</v>
      </c>
      <c r="H91" s="30">
        <f t="shared" si="9"/>
        <v>9259.7759999999998</v>
      </c>
    </row>
    <row r="92" spans="2:8" x14ac:dyDescent="0.35">
      <c r="B92" s="28" t="s">
        <v>120</v>
      </c>
      <c r="C92" s="26">
        <v>0</v>
      </c>
      <c r="D92" s="35" t="str">
        <f t="shared" si="5"/>
        <v>Electronics Sales Tooling 201906</v>
      </c>
      <c r="E92" s="33" t="str">
        <f t="shared" si="6"/>
        <v>Electronics Sales Tooling</v>
      </c>
      <c r="F92" s="36" t="str">
        <f t="shared" si="7"/>
        <v>06</v>
      </c>
      <c r="G92" s="36" t="str">
        <f t="shared" si="8"/>
        <v>2019</v>
      </c>
      <c r="H92" s="30">
        <f t="shared" si="9"/>
        <v>0</v>
      </c>
    </row>
    <row r="93" spans="2:8" x14ac:dyDescent="0.35">
      <c r="B93" s="28" t="s">
        <v>121</v>
      </c>
      <c r="C93" s="26">
        <v>59130</v>
      </c>
      <c r="D93" s="35" t="str">
        <f t="shared" si="5"/>
        <v>Mechanic Sales 201906</v>
      </c>
      <c r="E93" s="33" t="str">
        <f t="shared" si="6"/>
        <v>Mechanic Sales</v>
      </c>
      <c r="F93" s="36" t="str">
        <f t="shared" si="7"/>
        <v>06</v>
      </c>
      <c r="G93" s="36" t="str">
        <f t="shared" si="8"/>
        <v>2019</v>
      </c>
      <c r="H93" s="30">
        <f t="shared" si="9"/>
        <v>59130</v>
      </c>
    </row>
    <row r="94" spans="2:8" x14ac:dyDescent="0.35">
      <c r="B94" s="28" t="s">
        <v>122</v>
      </c>
      <c r="C94" s="26">
        <v>120516.93</v>
      </c>
      <c r="D94" s="35" t="str">
        <f t="shared" si="5"/>
        <v>Mechanic Sales Tooling 201906</v>
      </c>
      <c r="E94" s="33" t="str">
        <f t="shared" si="6"/>
        <v>Mechanic Sales Tooling</v>
      </c>
      <c r="F94" s="36" t="str">
        <f t="shared" si="7"/>
        <v>06</v>
      </c>
      <c r="G94" s="36" t="str">
        <f t="shared" si="8"/>
        <v>2019</v>
      </c>
      <c r="H94" s="30">
        <f t="shared" si="9"/>
        <v>120516.93</v>
      </c>
    </row>
    <row r="95" spans="2:8" x14ac:dyDescent="0.35">
      <c r="B95" s="28" t="s">
        <v>123</v>
      </c>
      <c r="C95" s="26">
        <v>0</v>
      </c>
      <c r="D95" s="35" t="str">
        <f t="shared" si="5"/>
        <v>Non Operating sales201906</v>
      </c>
      <c r="E95" s="33" t="str">
        <f t="shared" si="6"/>
        <v>Non Operating sale</v>
      </c>
      <c r="F95" s="36" t="str">
        <f t="shared" si="7"/>
        <v>06</v>
      </c>
      <c r="G95" s="36" t="str">
        <f t="shared" si="8"/>
        <v>2019</v>
      </c>
      <c r="H95" s="30">
        <f t="shared" si="9"/>
        <v>0</v>
      </c>
    </row>
    <row r="96" spans="2:8" x14ac:dyDescent="0.35">
      <c r="B96" s="28" t="s">
        <v>124</v>
      </c>
      <c r="C96" s="26">
        <v>233290.06040000002</v>
      </c>
      <c r="D96" s="35" t="str">
        <f t="shared" si="5"/>
        <v>Partner Sales 201906</v>
      </c>
      <c r="E96" s="33" t="str">
        <f t="shared" si="6"/>
        <v>Partner Sales</v>
      </c>
      <c r="F96" s="36" t="str">
        <f t="shared" si="7"/>
        <v>06</v>
      </c>
      <c r="G96" s="36" t="str">
        <f t="shared" si="8"/>
        <v>2019</v>
      </c>
      <c r="H96" s="30">
        <f t="shared" si="9"/>
        <v>233290.06040000002</v>
      </c>
    </row>
    <row r="97" spans="2:8" x14ac:dyDescent="0.35">
      <c r="B97" s="28" t="s">
        <v>125</v>
      </c>
      <c r="C97" s="26">
        <v>29992.499999999996</v>
      </c>
      <c r="D97" s="35" t="str">
        <f t="shared" si="5"/>
        <v>Partner Sales Tooling 201906</v>
      </c>
      <c r="E97" s="33" t="str">
        <f t="shared" si="6"/>
        <v>Partner Sales Tooling</v>
      </c>
      <c r="F97" s="36" t="str">
        <f t="shared" si="7"/>
        <v>06</v>
      </c>
      <c r="G97" s="36" t="str">
        <f t="shared" si="8"/>
        <v>2019</v>
      </c>
      <c r="H97" s="30">
        <f t="shared" si="9"/>
        <v>29992.499999999996</v>
      </c>
    </row>
    <row r="98" spans="2:8" x14ac:dyDescent="0.35">
      <c r="B98" s="28" t="s">
        <v>126</v>
      </c>
      <c r="C98" s="26">
        <v>-3746.2459999999996</v>
      </c>
      <c r="D98" s="35" t="str">
        <f t="shared" si="5"/>
        <v>Sales - Discounts 201906</v>
      </c>
      <c r="E98" s="33" t="str">
        <f t="shared" si="6"/>
        <v>Sales - Discounts</v>
      </c>
      <c r="F98" s="36" t="str">
        <f t="shared" si="7"/>
        <v>06</v>
      </c>
      <c r="G98" s="36" t="str">
        <f t="shared" si="8"/>
        <v>2019</v>
      </c>
      <c r="H98" s="30">
        <f t="shared" si="9"/>
        <v>-3746.2459999999996</v>
      </c>
    </row>
    <row r="99" spans="2:8" x14ac:dyDescent="0.35">
      <c r="B99" s="28" t="s">
        <v>127</v>
      </c>
      <c r="C99" s="26">
        <v>145.90830000000003</v>
      </c>
      <c r="D99" s="35" t="str">
        <f t="shared" si="5"/>
        <v>Sales - Freight Out 201906</v>
      </c>
      <c r="E99" s="33" t="str">
        <f t="shared" si="6"/>
        <v>Sales - Freight Out</v>
      </c>
      <c r="F99" s="36" t="str">
        <f t="shared" si="7"/>
        <v>06</v>
      </c>
      <c r="G99" s="36" t="str">
        <f t="shared" si="8"/>
        <v>2019</v>
      </c>
      <c r="H99" s="30">
        <f t="shared" si="9"/>
        <v>145.90830000000003</v>
      </c>
    </row>
    <row r="100" spans="2:8" x14ac:dyDescent="0.35">
      <c r="B100" s="28" t="s">
        <v>128</v>
      </c>
      <c r="C100" s="26">
        <v>-17595.724999999999</v>
      </c>
      <c r="D100" s="35" t="str">
        <f t="shared" si="5"/>
        <v>Sales - Returns 201906</v>
      </c>
      <c r="E100" s="33" t="str">
        <f t="shared" si="6"/>
        <v>Sales - Returns</v>
      </c>
      <c r="F100" s="36" t="str">
        <f t="shared" si="7"/>
        <v>06</v>
      </c>
      <c r="G100" s="36" t="str">
        <f t="shared" si="8"/>
        <v>2019</v>
      </c>
      <c r="H100" s="30">
        <f t="shared" si="9"/>
        <v>-17595.724999999999</v>
      </c>
    </row>
    <row r="101" spans="2:8" x14ac:dyDescent="0.35">
      <c r="B101" s="28" t="s">
        <v>129</v>
      </c>
      <c r="C101" s="26">
        <v>-343087.13010000001</v>
      </c>
      <c r="D101" s="35" t="str">
        <f t="shared" si="5"/>
        <v>Automotive Sales 201907</v>
      </c>
      <c r="E101" s="33" t="str">
        <f t="shared" si="6"/>
        <v>Automotive Sales</v>
      </c>
      <c r="F101" s="36" t="str">
        <f t="shared" si="7"/>
        <v>07</v>
      </c>
      <c r="G101" s="36" t="str">
        <f t="shared" si="8"/>
        <v>2019</v>
      </c>
      <c r="H101" s="30">
        <f t="shared" si="9"/>
        <v>-343087.13010000001</v>
      </c>
    </row>
    <row r="102" spans="2:8" x14ac:dyDescent="0.35">
      <c r="B102" s="28" t="s">
        <v>130</v>
      </c>
      <c r="C102" s="26">
        <v>0</v>
      </c>
      <c r="D102" s="35" t="str">
        <f t="shared" si="5"/>
        <v>Automotive Sales Tooling 201907</v>
      </c>
      <c r="E102" s="33" t="str">
        <f t="shared" si="6"/>
        <v>Automotive Sales Tooling</v>
      </c>
      <c r="F102" s="36" t="str">
        <f t="shared" si="7"/>
        <v>07</v>
      </c>
      <c r="G102" s="36" t="str">
        <f t="shared" si="8"/>
        <v>2019</v>
      </c>
      <c r="H102" s="30">
        <f t="shared" si="9"/>
        <v>0</v>
      </c>
    </row>
    <row r="103" spans="2:8" x14ac:dyDescent="0.35">
      <c r="B103" s="28" t="s">
        <v>131</v>
      </c>
      <c r="C103" s="26">
        <v>-1105656.0678000001</v>
      </c>
      <c r="D103" s="35" t="str">
        <f t="shared" si="5"/>
        <v>Bulk Sales 201907</v>
      </c>
      <c r="E103" s="33" t="str">
        <f t="shared" si="6"/>
        <v>Bulk Sales</v>
      </c>
      <c r="F103" s="36" t="str">
        <f t="shared" si="7"/>
        <v>07</v>
      </c>
      <c r="G103" s="36" t="str">
        <f t="shared" si="8"/>
        <v>2019</v>
      </c>
      <c r="H103" s="30">
        <f t="shared" si="9"/>
        <v>-1105656.0678000001</v>
      </c>
    </row>
    <row r="104" spans="2:8" x14ac:dyDescent="0.35">
      <c r="B104" s="28" t="s">
        <v>132</v>
      </c>
      <c r="C104" s="26">
        <v>-8352</v>
      </c>
      <c r="D104" s="35" t="str">
        <f t="shared" si="5"/>
        <v>Bulk Sales Tooling 201907</v>
      </c>
      <c r="E104" s="33" t="str">
        <f t="shared" si="6"/>
        <v>Bulk Sales Tooling</v>
      </c>
      <c r="F104" s="36" t="str">
        <f t="shared" si="7"/>
        <v>07</v>
      </c>
      <c r="G104" s="36" t="str">
        <f t="shared" si="8"/>
        <v>2019</v>
      </c>
      <c r="H104" s="30">
        <f t="shared" si="9"/>
        <v>-8352</v>
      </c>
    </row>
    <row r="105" spans="2:8" x14ac:dyDescent="0.35">
      <c r="B105" s="28" t="s">
        <v>133</v>
      </c>
      <c r="C105" s="26">
        <v>-382278.56479999993</v>
      </c>
      <c r="D105" s="35" t="str">
        <f t="shared" si="5"/>
        <v>Consumer Sales 201907</v>
      </c>
      <c r="E105" s="33" t="str">
        <f t="shared" si="6"/>
        <v>Consumer Sales</v>
      </c>
      <c r="F105" s="36" t="str">
        <f t="shared" si="7"/>
        <v>07</v>
      </c>
      <c r="G105" s="36" t="str">
        <f t="shared" si="8"/>
        <v>2019</v>
      </c>
      <c r="H105" s="30">
        <f t="shared" si="9"/>
        <v>-382278.56479999993</v>
      </c>
    </row>
    <row r="106" spans="2:8" x14ac:dyDescent="0.35">
      <c r="B106" s="28" t="s">
        <v>134</v>
      </c>
      <c r="C106" s="26">
        <v>0</v>
      </c>
      <c r="D106" s="35" t="str">
        <f t="shared" si="5"/>
        <v>Consumer Sales Tooling 201907</v>
      </c>
      <c r="E106" s="33" t="str">
        <f t="shared" si="6"/>
        <v>Consumer Sales Tooling</v>
      </c>
      <c r="F106" s="36" t="str">
        <f t="shared" si="7"/>
        <v>07</v>
      </c>
      <c r="G106" s="36" t="str">
        <f t="shared" si="8"/>
        <v>2019</v>
      </c>
      <c r="H106" s="30">
        <f t="shared" si="9"/>
        <v>0</v>
      </c>
    </row>
    <row r="107" spans="2:8" x14ac:dyDescent="0.35">
      <c r="B107" s="28" t="s">
        <v>135</v>
      </c>
      <c r="C107" s="26">
        <v>-4377.5999999999995</v>
      </c>
      <c r="D107" s="35" t="str">
        <f t="shared" si="5"/>
        <v>Electronics Sales 201907</v>
      </c>
      <c r="E107" s="33" t="str">
        <f t="shared" si="6"/>
        <v>Electronics Sales</v>
      </c>
      <c r="F107" s="36" t="str">
        <f t="shared" si="7"/>
        <v>07</v>
      </c>
      <c r="G107" s="36" t="str">
        <f t="shared" si="8"/>
        <v>2019</v>
      </c>
      <c r="H107" s="30">
        <f t="shared" si="9"/>
        <v>-4377.5999999999995</v>
      </c>
    </row>
    <row r="108" spans="2:8" x14ac:dyDescent="0.35">
      <c r="B108" s="28" t="s">
        <v>136</v>
      </c>
      <c r="C108" s="26">
        <v>0</v>
      </c>
      <c r="D108" s="35" t="str">
        <f t="shared" si="5"/>
        <v>Electronics Sales Tooling 201907</v>
      </c>
      <c r="E108" s="33" t="str">
        <f t="shared" si="6"/>
        <v>Electronics Sales Tooling</v>
      </c>
      <c r="F108" s="36" t="str">
        <f t="shared" si="7"/>
        <v>07</v>
      </c>
      <c r="G108" s="36" t="str">
        <f t="shared" si="8"/>
        <v>2019</v>
      </c>
      <c r="H108" s="30">
        <f t="shared" si="9"/>
        <v>0</v>
      </c>
    </row>
    <row r="109" spans="2:8" x14ac:dyDescent="0.35">
      <c r="B109" s="28" t="s">
        <v>137</v>
      </c>
      <c r="C109" s="26">
        <v>-77867.625</v>
      </c>
      <c r="D109" s="35" t="str">
        <f t="shared" si="5"/>
        <v>Mechanic Sales 201907</v>
      </c>
      <c r="E109" s="33" t="str">
        <f t="shared" si="6"/>
        <v>Mechanic Sales</v>
      </c>
      <c r="F109" s="36" t="str">
        <f t="shared" si="7"/>
        <v>07</v>
      </c>
      <c r="G109" s="36" t="str">
        <f t="shared" si="8"/>
        <v>2019</v>
      </c>
      <c r="H109" s="30">
        <f t="shared" si="9"/>
        <v>-77867.625</v>
      </c>
    </row>
    <row r="110" spans="2:8" x14ac:dyDescent="0.35">
      <c r="B110" s="28" t="s">
        <v>138</v>
      </c>
      <c r="C110" s="26">
        <v>0</v>
      </c>
      <c r="D110" s="35" t="str">
        <f t="shared" si="5"/>
        <v>Mechanic Sales Tooling 201907</v>
      </c>
      <c r="E110" s="33" t="str">
        <f t="shared" si="6"/>
        <v>Mechanic Sales Tooling</v>
      </c>
      <c r="F110" s="36" t="str">
        <f t="shared" si="7"/>
        <v>07</v>
      </c>
      <c r="G110" s="36" t="str">
        <f t="shared" si="8"/>
        <v>2019</v>
      </c>
      <c r="H110" s="30">
        <f t="shared" si="9"/>
        <v>0</v>
      </c>
    </row>
    <row r="111" spans="2:8" x14ac:dyDescent="0.35">
      <c r="B111" s="28" t="s">
        <v>139</v>
      </c>
      <c r="C111" s="26">
        <v>0</v>
      </c>
      <c r="D111" s="35" t="str">
        <f t="shared" si="5"/>
        <v>Non Operating sales201907</v>
      </c>
      <c r="E111" s="33" t="str">
        <f t="shared" si="6"/>
        <v>Non Operating sale</v>
      </c>
      <c r="F111" s="36" t="str">
        <f t="shared" si="7"/>
        <v>07</v>
      </c>
      <c r="G111" s="36" t="str">
        <f t="shared" si="8"/>
        <v>2019</v>
      </c>
      <c r="H111" s="30">
        <f t="shared" si="9"/>
        <v>0</v>
      </c>
    </row>
    <row r="112" spans="2:8" x14ac:dyDescent="0.35">
      <c r="B112" s="28" t="s">
        <v>140</v>
      </c>
      <c r="C112" s="26">
        <v>-144560.71420000002</v>
      </c>
      <c r="D112" s="35" t="str">
        <f t="shared" si="5"/>
        <v>Partner Sales 201907</v>
      </c>
      <c r="E112" s="33" t="str">
        <f t="shared" si="6"/>
        <v>Partner Sales</v>
      </c>
      <c r="F112" s="36" t="str">
        <f t="shared" si="7"/>
        <v>07</v>
      </c>
      <c r="G112" s="36" t="str">
        <f t="shared" si="8"/>
        <v>2019</v>
      </c>
      <c r="H112" s="30">
        <f t="shared" si="9"/>
        <v>-144560.71420000002</v>
      </c>
    </row>
    <row r="113" spans="2:8" x14ac:dyDescent="0.35">
      <c r="B113" s="28" t="s">
        <v>141</v>
      </c>
      <c r="C113" s="26">
        <v>0</v>
      </c>
      <c r="D113" s="35" t="str">
        <f t="shared" si="5"/>
        <v>Partner Sales Tooling 201907</v>
      </c>
      <c r="E113" s="33" t="str">
        <f t="shared" si="6"/>
        <v>Partner Sales Tooling</v>
      </c>
      <c r="F113" s="36" t="str">
        <f t="shared" si="7"/>
        <v>07</v>
      </c>
      <c r="G113" s="36" t="str">
        <f t="shared" si="8"/>
        <v>2019</v>
      </c>
      <c r="H113" s="30">
        <f t="shared" si="9"/>
        <v>0</v>
      </c>
    </row>
    <row r="114" spans="2:8" x14ac:dyDescent="0.35">
      <c r="B114" s="28" t="s">
        <v>142</v>
      </c>
      <c r="C114" s="26">
        <v>-3027.2759999999998</v>
      </c>
      <c r="D114" s="35" t="str">
        <f t="shared" si="5"/>
        <v>Sales - Discounts 201907</v>
      </c>
      <c r="E114" s="33" t="str">
        <f t="shared" si="6"/>
        <v>Sales - Discounts</v>
      </c>
      <c r="F114" s="36" t="str">
        <f t="shared" si="7"/>
        <v>07</v>
      </c>
      <c r="G114" s="36" t="str">
        <f t="shared" si="8"/>
        <v>2019</v>
      </c>
      <c r="H114" s="30">
        <f t="shared" si="9"/>
        <v>-3027.2759999999998</v>
      </c>
    </row>
    <row r="115" spans="2:8" x14ac:dyDescent="0.35">
      <c r="B115" s="28" t="s">
        <v>143</v>
      </c>
      <c r="C115" s="26">
        <v>7433.0528000000004</v>
      </c>
      <c r="D115" s="35" t="str">
        <f t="shared" si="5"/>
        <v>Sales - Freight Out 201907</v>
      </c>
      <c r="E115" s="33" t="str">
        <f t="shared" si="6"/>
        <v>Sales - Freight Out</v>
      </c>
      <c r="F115" s="36" t="str">
        <f t="shared" si="7"/>
        <v>07</v>
      </c>
      <c r="G115" s="36" t="str">
        <f t="shared" si="8"/>
        <v>2019</v>
      </c>
      <c r="H115" s="30">
        <f t="shared" si="9"/>
        <v>7433.0528000000004</v>
      </c>
    </row>
    <row r="116" spans="2:8" x14ac:dyDescent="0.35">
      <c r="B116" s="28" t="s">
        <v>144</v>
      </c>
      <c r="C116" s="26">
        <v>-5513.0375000000004</v>
      </c>
      <c r="D116" s="35" t="str">
        <f t="shared" si="5"/>
        <v>Sales - Returns 201907</v>
      </c>
      <c r="E116" s="33" t="str">
        <f t="shared" si="6"/>
        <v>Sales - Returns</v>
      </c>
      <c r="F116" s="36" t="str">
        <f t="shared" si="7"/>
        <v>07</v>
      </c>
      <c r="G116" s="36" t="str">
        <f t="shared" si="8"/>
        <v>2019</v>
      </c>
      <c r="H116" s="30">
        <f t="shared" si="9"/>
        <v>-5513.0375000000004</v>
      </c>
    </row>
    <row r="117" spans="2:8" x14ac:dyDescent="0.35">
      <c r="B117" s="28" t="s">
        <v>145</v>
      </c>
      <c r="C117" s="26">
        <v>159815.0411</v>
      </c>
      <c r="D117" s="35" t="str">
        <f t="shared" si="5"/>
        <v>Automotive Sales 201908</v>
      </c>
      <c r="E117" s="33" t="str">
        <f t="shared" si="6"/>
        <v>Automotive Sales</v>
      </c>
      <c r="F117" s="36" t="str">
        <f t="shared" si="7"/>
        <v>08</v>
      </c>
      <c r="G117" s="36" t="str">
        <f t="shared" si="8"/>
        <v>2019</v>
      </c>
      <c r="H117" s="30">
        <f t="shared" si="9"/>
        <v>159815.0411</v>
      </c>
    </row>
    <row r="118" spans="2:8" x14ac:dyDescent="0.35">
      <c r="B118" s="28" t="s">
        <v>146</v>
      </c>
      <c r="C118" s="26">
        <v>0</v>
      </c>
      <c r="D118" s="35" t="str">
        <f t="shared" si="5"/>
        <v>Automotive Sales Tooling 201908</v>
      </c>
      <c r="E118" s="33" t="str">
        <f t="shared" si="6"/>
        <v>Automotive Sales Tooling</v>
      </c>
      <c r="F118" s="36" t="str">
        <f t="shared" si="7"/>
        <v>08</v>
      </c>
      <c r="G118" s="36" t="str">
        <f t="shared" si="8"/>
        <v>2019</v>
      </c>
      <c r="H118" s="30">
        <f t="shared" si="9"/>
        <v>0</v>
      </c>
    </row>
    <row r="119" spans="2:8" x14ac:dyDescent="0.35">
      <c r="B119" s="28" t="s">
        <v>147</v>
      </c>
      <c r="C119" s="26">
        <v>767747.90180000011</v>
      </c>
      <c r="D119" s="35" t="str">
        <f t="shared" si="5"/>
        <v>Bulk Sales 201908</v>
      </c>
      <c r="E119" s="33" t="str">
        <f t="shared" si="6"/>
        <v>Bulk Sales</v>
      </c>
      <c r="F119" s="36" t="str">
        <f t="shared" si="7"/>
        <v>08</v>
      </c>
      <c r="G119" s="36" t="str">
        <f t="shared" si="8"/>
        <v>2019</v>
      </c>
      <c r="H119" s="30">
        <f t="shared" si="9"/>
        <v>767747.90180000011</v>
      </c>
    </row>
    <row r="120" spans="2:8" x14ac:dyDescent="0.35">
      <c r="B120" s="28" t="s">
        <v>148</v>
      </c>
      <c r="C120" s="26">
        <v>127728</v>
      </c>
      <c r="D120" s="35" t="str">
        <f t="shared" si="5"/>
        <v>Bulk Sales Tooling 201908</v>
      </c>
      <c r="E120" s="33" t="str">
        <f t="shared" si="6"/>
        <v>Bulk Sales Tooling</v>
      </c>
      <c r="F120" s="36" t="str">
        <f t="shared" si="7"/>
        <v>08</v>
      </c>
      <c r="G120" s="36" t="str">
        <f t="shared" si="8"/>
        <v>2019</v>
      </c>
      <c r="H120" s="30">
        <f t="shared" si="9"/>
        <v>127728</v>
      </c>
    </row>
    <row r="121" spans="2:8" x14ac:dyDescent="0.35">
      <c r="B121" s="28" t="s">
        <v>149</v>
      </c>
      <c r="C121" s="26">
        <v>350637.37599999999</v>
      </c>
      <c r="D121" s="35" t="str">
        <f t="shared" si="5"/>
        <v>Consumer Sales 201908</v>
      </c>
      <c r="E121" s="33" t="str">
        <f t="shared" si="6"/>
        <v>Consumer Sales</v>
      </c>
      <c r="F121" s="36" t="str">
        <f t="shared" si="7"/>
        <v>08</v>
      </c>
      <c r="G121" s="36" t="str">
        <f t="shared" si="8"/>
        <v>2019</v>
      </c>
      <c r="H121" s="30">
        <f t="shared" si="9"/>
        <v>350637.37599999999</v>
      </c>
    </row>
    <row r="122" spans="2:8" x14ac:dyDescent="0.35">
      <c r="B122" s="28" t="s">
        <v>150</v>
      </c>
      <c r="C122" s="26">
        <v>9720</v>
      </c>
      <c r="D122" s="35" t="str">
        <f t="shared" si="5"/>
        <v>Consumer Sales Tooling 201908</v>
      </c>
      <c r="E122" s="33" t="str">
        <f t="shared" si="6"/>
        <v>Consumer Sales Tooling</v>
      </c>
      <c r="F122" s="36" t="str">
        <f t="shared" si="7"/>
        <v>08</v>
      </c>
      <c r="G122" s="36" t="str">
        <f t="shared" si="8"/>
        <v>2019</v>
      </c>
      <c r="H122" s="30">
        <f t="shared" si="9"/>
        <v>9720</v>
      </c>
    </row>
    <row r="123" spans="2:8" x14ac:dyDescent="0.35">
      <c r="B123" s="28" t="s">
        <v>151</v>
      </c>
      <c r="C123" s="26">
        <v>17905.982399999997</v>
      </c>
      <c r="D123" s="35" t="str">
        <f t="shared" si="5"/>
        <v>Electronics Sales 201908</v>
      </c>
      <c r="E123" s="33" t="str">
        <f t="shared" si="6"/>
        <v>Electronics Sales</v>
      </c>
      <c r="F123" s="36" t="str">
        <f t="shared" si="7"/>
        <v>08</v>
      </c>
      <c r="G123" s="36" t="str">
        <f t="shared" si="8"/>
        <v>2019</v>
      </c>
      <c r="H123" s="30">
        <f t="shared" si="9"/>
        <v>17905.982399999997</v>
      </c>
    </row>
    <row r="124" spans="2:8" x14ac:dyDescent="0.35">
      <c r="B124" s="28" t="s">
        <v>152</v>
      </c>
      <c r="C124" s="26">
        <v>0</v>
      </c>
      <c r="D124" s="35" t="str">
        <f t="shared" si="5"/>
        <v>Electronics Sales Tooling 201908</v>
      </c>
      <c r="E124" s="33" t="str">
        <f t="shared" si="6"/>
        <v>Electronics Sales Tooling</v>
      </c>
      <c r="F124" s="36" t="str">
        <f t="shared" si="7"/>
        <v>08</v>
      </c>
      <c r="G124" s="36" t="str">
        <f t="shared" si="8"/>
        <v>2019</v>
      </c>
      <c r="H124" s="30">
        <f t="shared" si="9"/>
        <v>0</v>
      </c>
    </row>
    <row r="125" spans="2:8" x14ac:dyDescent="0.35">
      <c r="B125" s="28" t="s">
        <v>153</v>
      </c>
      <c r="C125" s="26">
        <v>-956.26499999999999</v>
      </c>
      <c r="D125" s="35" t="str">
        <f t="shared" si="5"/>
        <v>Mechanic Sales 201908</v>
      </c>
      <c r="E125" s="33" t="str">
        <f t="shared" si="6"/>
        <v>Mechanic Sales</v>
      </c>
      <c r="F125" s="36" t="str">
        <f t="shared" si="7"/>
        <v>08</v>
      </c>
      <c r="G125" s="36" t="str">
        <f t="shared" si="8"/>
        <v>2019</v>
      </c>
      <c r="H125" s="30">
        <f t="shared" si="9"/>
        <v>-956.26499999999999</v>
      </c>
    </row>
    <row r="126" spans="2:8" x14ac:dyDescent="0.35">
      <c r="B126" s="28" t="s">
        <v>154</v>
      </c>
      <c r="C126" s="26">
        <v>22271.372999999996</v>
      </c>
      <c r="D126" s="35" t="str">
        <f t="shared" si="5"/>
        <v>Mechanic Sales Tooling 201908</v>
      </c>
      <c r="E126" s="33" t="str">
        <f t="shared" si="6"/>
        <v>Mechanic Sales Tooling</v>
      </c>
      <c r="F126" s="36" t="str">
        <f t="shared" si="7"/>
        <v>08</v>
      </c>
      <c r="G126" s="36" t="str">
        <f t="shared" si="8"/>
        <v>2019</v>
      </c>
      <c r="H126" s="30">
        <f t="shared" si="9"/>
        <v>22271.372999999996</v>
      </c>
    </row>
    <row r="127" spans="2:8" x14ac:dyDescent="0.35">
      <c r="B127" s="28" t="s">
        <v>155</v>
      </c>
      <c r="C127" s="26">
        <v>0</v>
      </c>
      <c r="D127" s="35" t="str">
        <f t="shared" si="5"/>
        <v>Non Operating sales201908</v>
      </c>
      <c r="E127" s="33" t="str">
        <f t="shared" si="6"/>
        <v>Non Operating sale</v>
      </c>
      <c r="F127" s="36" t="str">
        <f t="shared" si="7"/>
        <v>08</v>
      </c>
      <c r="G127" s="36" t="str">
        <f t="shared" si="8"/>
        <v>2019</v>
      </c>
      <c r="H127" s="30">
        <f t="shared" si="9"/>
        <v>0</v>
      </c>
    </row>
    <row r="128" spans="2:8" x14ac:dyDescent="0.35">
      <c r="B128" s="28" t="s">
        <v>156</v>
      </c>
      <c r="C128" s="26">
        <v>18351.300000000003</v>
      </c>
      <c r="D128" s="35" t="str">
        <f t="shared" si="5"/>
        <v>Partner Sales 201908</v>
      </c>
      <c r="E128" s="33" t="str">
        <f t="shared" si="6"/>
        <v>Partner Sales</v>
      </c>
      <c r="F128" s="36" t="str">
        <f t="shared" si="7"/>
        <v>08</v>
      </c>
      <c r="G128" s="36" t="str">
        <f t="shared" si="8"/>
        <v>2019</v>
      </c>
      <c r="H128" s="30">
        <f t="shared" si="9"/>
        <v>18351.300000000003</v>
      </c>
    </row>
    <row r="129" spans="2:8" x14ac:dyDescent="0.35">
      <c r="B129" s="28" t="s">
        <v>157</v>
      </c>
      <c r="C129" s="26">
        <v>7207.4999999999991</v>
      </c>
      <c r="D129" s="35" t="str">
        <f t="shared" si="5"/>
        <v>Partner Sales Tooling 201908</v>
      </c>
      <c r="E129" s="33" t="str">
        <f t="shared" si="6"/>
        <v>Partner Sales Tooling</v>
      </c>
      <c r="F129" s="36" t="str">
        <f t="shared" si="7"/>
        <v>08</v>
      </c>
      <c r="G129" s="36" t="str">
        <f t="shared" si="8"/>
        <v>2019</v>
      </c>
      <c r="H129" s="30">
        <f t="shared" si="9"/>
        <v>7207.4999999999991</v>
      </c>
    </row>
    <row r="130" spans="2:8" x14ac:dyDescent="0.35">
      <c r="B130" s="28" t="s">
        <v>158</v>
      </c>
      <c r="C130" s="26">
        <v>-2110.2339999999999</v>
      </c>
      <c r="D130" s="35" t="str">
        <f t="shared" si="5"/>
        <v>Sales - Discounts 201908</v>
      </c>
      <c r="E130" s="33" t="str">
        <f t="shared" si="6"/>
        <v>Sales - Discounts</v>
      </c>
      <c r="F130" s="36" t="str">
        <f t="shared" si="7"/>
        <v>08</v>
      </c>
      <c r="G130" s="36" t="str">
        <f t="shared" si="8"/>
        <v>2019</v>
      </c>
      <c r="H130" s="30">
        <f t="shared" si="9"/>
        <v>-2110.2339999999999</v>
      </c>
    </row>
    <row r="131" spans="2:8" x14ac:dyDescent="0.35">
      <c r="B131" s="28" t="s">
        <v>159</v>
      </c>
      <c r="C131" s="26">
        <v>33.123699999999999</v>
      </c>
      <c r="D131" s="35" t="str">
        <f t="shared" si="5"/>
        <v>Sales - Freight Out 201908</v>
      </c>
      <c r="E131" s="33" t="str">
        <f t="shared" si="6"/>
        <v>Sales - Freight Out</v>
      </c>
      <c r="F131" s="36" t="str">
        <f t="shared" si="7"/>
        <v>08</v>
      </c>
      <c r="G131" s="36" t="str">
        <f t="shared" si="8"/>
        <v>2019</v>
      </c>
      <c r="H131" s="30">
        <f t="shared" si="9"/>
        <v>33.123699999999999</v>
      </c>
    </row>
    <row r="132" spans="2:8" x14ac:dyDescent="0.35">
      <c r="B132" s="28" t="s">
        <v>160</v>
      </c>
      <c r="C132" s="26">
        <v>-34604.224999999999</v>
      </c>
      <c r="D132" s="35" t="str">
        <f t="shared" si="5"/>
        <v>Sales - Returns 201908</v>
      </c>
      <c r="E132" s="33" t="str">
        <f t="shared" si="6"/>
        <v>Sales - Returns</v>
      </c>
      <c r="F132" s="36" t="str">
        <f t="shared" si="7"/>
        <v>08</v>
      </c>
      <c r="G132" s="36" t="str">
        <f t="shared" si="8"/>
        <v>2019</v>
      </c>
      <c r="H132" s="30">
        <f t="shared" si="9"/>
        <v>-34604.224999999999</v>
      </c>
    </row>
    <row r="133" spans="2:8" x14ac:dyDescent="0.35">
      <c r="B133" s="28" t="s">
        <v>161</v>
      </c>
      <c r="C133" s="26">
        <v>282688.4203</v>
      </c>
      <c r="D133" s="35" t="str">
        <f t="shared" si="5"/>
        <v>Automotive Sales 201909</v>
      </c>
      <c r="E133" s="33" t="str">
        <f t="shared" si="6"/>
        <v>Automotive Sales</v>
      </c>
      <c r="F133" s="36" t="str">
        <f t="shared" si="7"/>
        <v>09</v>
      </c>
      <c r="G133" s="36" t="str">
        <f t="shared" si="8"/>
        <v>2019</v>
      </c>
      <c r="H133" s="30">
        <f t="shared" si="9"/>
        <v>282688.4203</v>
      </c>
    </row>
    <row r="134" spans="2:8" x14ac:dyDescent="0.35">
      <c r="B134" s="28" t="s">
        <v>162</v>
      </c>
      <c r="C134" s="26">
        <v>0</v>
      </c>
      <c r="D134" s="35" t="str">
        <f t="shared" ref="D134:D197" si="10">TRIM(B134)</f>
        <v>Automotive Sales Tooling 201909</v>
      </c>
      <c r="E134" s="33" t="str">
        <f t="shared" ref="E134:E197" si="11">LEFT(D134,LEN(D134)-7)</f>
        <v>Automotive Sales Tooling</v>
      </c>
      <c r="F134" s="36" t="str">
        <f t="shared" ref="F134:F197" si="12">RIGHT(D134,2)</f>
        <v>09</v>
      </c>
      <c r="G134" s="36" t="str">
        <f t="shared" ref="G134:G197" si="13">RIGHT(LEFT(D134,LEN(D134)-2),4)</f>
        <v>2019</v>
      </c>
      <c r="H134" s="30">
        <f t="shared" ref="H134:H197" si="14">C134</f>
        <v>0</v>
      </c>
    </row>
    <row r="135" spans="2:8" x14ac:dyDescent="0.35">
      <c r="B135" s="28" t="s">
        <v>163</v>
      </c>
      <c r="C135" s="26">
        <v>948385.75490000017</v>
      </c>
      <c r="D135" s="35" t="str">
        <f t="shared" si="10"/>
        <v>Bulk Sales 201909</v>
      </c>
      <c r="E135" s="33" t="str">
        <f t="shared" si="11"/>
        <v>Bulk Sales</v>
      </c>
      <c r="F135" s="36" t="str">
        <f t="shared" si="12"/>
        <v>09</v>
      </c>
      <c r="G135" s="36" t="str">
        <f t="shared" si="13"/>
        <v>2019</v>
      </c>
      <c r="H135" s="30">
        <f t="shared" si="14"/>
        <v>948385.75490000017</v>
      </c>
    </row>
    <row r="136" spans="2:8" x14ac:dyDescent="0.35">
      <c r="B136" s="28" t="s">
        <v>164</v>
      </c>
      <c r="C136" s="26">
        <v>154080</v>
      </c>
      <c r="D136" s="35" t="str">
        <f t="shared" si="10"/>
        <v>Bulk Sales Tooling 201909</v>
      </c>
      <c r="E136" s="33" t="str">
        <f t="shared" si="11"/>
        <v>Bulk Sales Tooling</v>
      </c>
      <c r="F136" s="36" t="str">
        <f t="shared" si="12"/>
        <v>09</v>
      </c>
      <c r="G136" s="36" t="str">
        <f t="shared" si="13"/>
        <v>2019</v>
      </c>
      <c r="H136" s="30">
        <f t="shared" si="14"/>
        <v>154080</v>
      </c>
    </row>
    <row r="137" spans="2:8" x14ac:dyDescent="0.35">
      <c r="B137" s="28" t="s">
        <v>165</v>
      </c>
      <c r="C137" s="26">
        <v>434741.84319999994</v>
      </c>
      <c r="D137" s="35" t="str">
        <f t="shared" si="10"/>
        <v>Consumer Sales 201909</v>
      </c>
      <c r="E137" s="33" t="str">
        <f t="shared" si="11"/>
        <v>Consumer Sales</v>
      </c>
      <c r="F137" s="36" t="str">
        <f t="shared" si="12"/>
        <v>09</v>
      </c>
      <c r="G137" s="36" t="str">
        <f t="shared" si="13"/>
        <v>2019</v>
      </c>
      <c r="H137" s="30">
        <f t="shared" si="14"/>
        <v>434741.84319999994</v>
      </c>
    </row>
    <row r="138" spans="2:8" x14ac:dyDescent="0.35">
      <c r="B138" s="28" t="s">
        <v>166</v>
      </c>
      <c r="C138" s="26">
        <v>59220</v>
      </c>
      <c r="D138" s="35" t="str">
        <f t="shared" si="10"/>
        <v>Consumer Sales Tooling 201909</v>
      </c>
      <c r="E138" s="33" t="str">
        <f t="shared" si="11"/>
        <v>Consumer Sales Tooling</v>
      </c>
      <c r="F138" s="36" t="str">
        <f t="shared" si="12"/>
        <v>09</v>
      </c>
      <c r="G138" s="36" t="str">
        <f t="shared" si="13"/>
        <v>2019</v>
      </c>
      <c r="H138" s="30">
        <f t="shared" si="14"/>
        <v>59220</v>
      </c>
    </row>
    <row r="139" spans="2:8" x14ac:dyDescent="0.35">
      <c r="B139" s="28" t="s">
        <v>167</v>
      </c>
      <c r="C139" s="26">
        <v>16446.081599999998</v>
      </c>
      <c r="D139" s="35" t="str">
        <f t="shared" si="10"/>
        <v>Electronics Sales 201909</v>
      </c>
      <c r="E139" s="33" t="str">
        <f t="shared" si="11"/>
        <v>Electronics Sales</v>
      </c>
      <c r="F139" s="36" t="str">
        <f t="shared" si="12"/>
        <v>09</v>
      </c>
      <c r="G139" s="36" t="str">
        <f t="shared" si="13"/>
        <v>2019</v>
      </c>
      <c r="H139" s="30">
        <f t="shared" si="14"/>
        <v>16446.081599999998</v>
      </c>
    </row>
    <row r="140" spans="2:8" x14ac:dyDescent="0.35">
      <c r="B140" s="28" t="s">
        <v>168</v>
      </c>
      <c r="C140" s="26">
        <v>0</v>
      </c>
      <c r="D140" s="35" t="str">
        <f t="shared" si="10"/>
        <v>Electronics Sales Tooling 201909</v>
      </c>
      <c r="E140" s="33" t="str">
        <f t="shared" si="11"/>
        <v>Electronics Sales Tooling</v>
      </c>
      <c r="F140" s="36" t="str">
        <f t="shared" si="12"/>
        <v>09</v>
      </c>
      <c r="G140" s="36" t="str">
        <f t="shared" si="13"/>
        <v>2019</v>
      </c>
      <c r="H140" s="30">
        <f t="shared" si="14"/>
        <v>0</v>
      </c>
    </row>
    <row r="141" spans="2:8" x14ac:dyDescent="0.35">
      <c r="B141" s="28" t="s">
        <v>169</v>
      </c>
      <c r="C141" s="26">
        <v>29565</v>
      </c>
      <c r="D141" s="35" t="str">
        <f t="shared" si="10"/>
        <v>Mechanic Sales 201909</v>
      </c>
      <c r="E141" s="33" t="str">
        <f t="shared" si="11"/>
        <v>Mechanic Sales</v>
      </c>
      <c r="F141" s="36" t="str">
        <f t="shared" si="12"/>
        <v>09</v>
      </c>
      <c r="G141" s="36" t="str">
        <f t="shared" si="13"/>
        <v>2019</v>
      </c>
      <c r="H141" s="30">
        <f t="shared" si="14"/>
        <v>29565</v>
      </c>
    </row>
    <row r="142" spans="2:8" x14ac:dyDescent="0.35">
      <c r="B142" s="28" t="s">
        <v>170</v>
      </c>
      <c r="C142" s="26">
        <v>93972.48149999998</v>
      </c>
      <c r="D142" s="35" t="str">
        <f t="shared" si="10"/>
        <v>Mechanic Sales Tooling 201909</v>
      </c>
      <c r="E142" s="33" t="str">
        <f t="shared" si="11"/>
        <v>Mechanic Sales Tooling</v>
      </c>
      <c r="F142" s="36" t="str">
        <f t="shared" si="12"/>
        <v>09</v>
      </c>
      <c r="G142" s="36" t="str">
        <f t="shared" si="13"/>
        <v>2019</v>
      </c>
      <c r="H142" s="30">
        <f t="shared" si="14"/>
        <v>93972.48149999998</v>
      </c>
    </row>
    <row r="143" spans="2:8" x14ac:dyDescent="0.35">
      <c r="B143" s="28" t="s">
        <v>171</v>
      </c>
      <c r="C143" s="26">
        <v>0</v>
      </c>
      <c r="D143" s="35" t="str">
        <f t="shared" si="10"/>
        <v>Non Operating sales201909</v>
      </c>
      <c r="E143" s="33" t="str">
        <f t="shared" si="11"/>
        <v>Non Operating sale</v>
      </c>
      <c r="F143" s="36" t="str">
        <f t="shared" si="12"/>
        <v>09</v>
      </c>
      <c r="G143" s="36" t="str">
        <f t="shared" si="13"/>
        <v>2019</v>
      </c>
      <c r="H143" s="30">
        <f t="shared" si="14"/>
        <v>0</v>
      </c>
    </row>
    <row r="144" spans="2:8" x14ac:dyDescent="0.35">
      <c r="B144" s="28" t="s">
        <v>172</v>
      </c>
      <c r="C144" s="26">
        <v>31665.861600000004</v>
      </c>
      <c r="D144" s="35" t="str">
        <f t="shared" si="10"/>
        <v>Partner Sales 201909</v>
      </c>
      <c r="E144" s="33" t="str">
        <f t="shared" si="11"/>
        <v>Partner Sales</v>
      </c>
      <c r="F144" s="36" t="str">
        <f t="shared" si="12"/>
        <v>09</v>
      </c>
      <c r="G144" s="36" t="str">
        <f t="shared" si="13"/>
        <v>2019</v>
      </c>
      <c r="H144" s="30">
        <f t="shared" si="14"/>
        <v>31665.861600000004</v>
      </c>
    </row>
    <row r="145" spans="2:8" x14ac:dyDescent="0.35">
      <c r="B145" s="28" t="s">
        <v>173</v>
      </c>
      <c r="C145" s="26">
        <v>35526</v>
      </c>
      <c r="D145" s="35" t="str">
        <f t="shared" si="10"/>
        <v>Partner Sales Tooling 201909</v>
      </c>
      <c r="E145" s="33" t="str">
        <f t="shared" si="11"/>
        <v>Partner Sales Tooling</v>
      </c>
      <c r="F145" s="36" t="str">
        <f t="shared" si="12"/>
        <v>09</v>
      </c>
      <c r="G145" s="36" t="str">
        <f t="shared" si="13"/>
        <v>2019</v>
      </c>
      <c r="H145" s="30">
        <f t="shared" si="14"/>
        <v>35526</v>
      </c>
    </row>
    <row r="146" spans="2:8" x14ac:dyDescent="0.35">
      <c r="B146" s="28" t="s">
        <v>174</v>
      </c>
      <c r="C146" s="26">
        <v>-4484.2559999999994</v>
      </c>
      <c r="D146" s="35" t="str">
        <f t="shared" si="10"/>
        <v>Sales - Discounts 201909</v>
      </c>
      <c r="E146" s="33" t="str">
        <f t="shared" si="11"/>
        <v>Sales - Discounts</v>
      </c>
      <c r="F146" s="36" t="str">
        <f t="shared" si="12"/>
        <v>09</v>
      </c>
      <c r="G146" s="36" t="str">
        <f t="shared" si="13"/>
        <v>2019</v>
      </c>
      <c r="H146" s="30">
        <f t="shared" si="14"/>
        <v>-4484.2559999999994</v>
      </c>
    </row>
    <row r="147" spans="2:8" x14ac:dyDescent="0.35">
      <c r="B147" s="28" t="s">
        <v>175</v>
      </c>
      <c r="C147" s="26">
        <v>155.09620000000001</v>
      </c>
      <c r="D147" s="35" t="str">
        <f t="shared" si="10"/>
        <v>Sales - Freight Out 201909</v>
      </c>
      <c r="E147" s="33" t="str">
        <f t="shared" si="11"/>
        <v>Sales - Freight Out</v>
      </c>
      <c r="F147" s="36" t="str">
        <f t="shared" si="12"/>
        <v>09</v>
      </c>
      <c r="G147" s="36" t="str">
        <f t="shared" si="13"/>
        <v>2019</v>
      </c>
      <c r="H147" s="30">
        <f t="shared" si="14"/>
        <v>155.09620000000001</v>
      </c>
    </row>
    <row r="148" spans="2:8" x14ac:dyDescent="0.35">
      <c r="B148" s="28" t="s">
        <v>176</v>
      </c>
      <c r="C148" s="26">
        <v>-7036.0375000000004</v>
      </c>
      <c r="D148" s="35" t="str">
        <f t="shared" si="10"/>
        <v>Sales - Returns 201909</v>
      </c>
      <c r="E148" s="33" t="str">
        <f t="shared" si="11"/>
        <v>Sales - Returns</v>
      </c>
      <c r="F148" s="36" t="str">
        <f t="shared" si="12"/>
        <v>09</v>
      </c>
      <c r="G148" s="36" t="str">
        <f t="shared" si="13"/>
        <v>2019</v>
      </c>
      <c r="H148" s="30">
        <f t="shared" si="14"/>
        <v>-7036.0375000000004</v>
      </c>
    </row>
    <row r="149" spans="2:8" x14ac:dyDescent="0.35">
      <c r="B149" s="28" t="s">
        <v>177</v>
      </c>
      <c r="C149" s="26">
        <v>136919.09659999999</v>
      </c>
      <c r="D149" s="35" t="str">
        <f t="shared" si="10"/>
        <v>Automotive Sales 201910</v>
      </c>
      <c r="E149" s="33" t="str">
        <f t="shared" si="11"/>
        <v>Automotive Sales</v>
      </c>
      <c r="F149" s="36" t="str">
        <f t="shared" si="12"/>
        <v>10</v>
      </c>
      <c r="G149" s="36" t="str">
        <f t="shared" si="13"/>
        <v>2019</v>
      </c>
      <c r="H149" s="30">
        <f t="shared" si="14"/>
        <v>136919.09659999999</v>
      </c>
    </row>
    <row r="150" spans="2:8" x14ac:dyDescent="0.35">
      <c r="B150" s="28" t="s">
        <v>178</v>
      </c>
      <c r="C150" s="26">
        <v>0</v>
      </c>
      <c r="D150" s="35" t="str">
        <f t="shared" si="10"/>
        <v>Automotive Sales Tooling 201910</v>
      </c>
      <c r="E150" s="33" t="str">
        <f t="shared" si="11"/>
        <v>Automotive Sales Tooling</v>
      </c>
      <c r="F150" s="36" t="str">
        <f t="shared" si="12"/>
        <v>10</v>
      </c>
      <c r="G150" s="36" t="str">
        <f t="shared" si="13"/>
        <v>2019</v>
      </c>
      <c r="H150" s="30">
        <f t="shared" si="14"/>
        <v>0</v>
      </c>
    </row>
    <row r="151" spans="2:8" x14ac:dyDescent="0.35">
      <c r="B151" s="28" t="s">
        <v>179</v>
      </c>
      <c r="C151" s="26">
        <v>662704.93460000004</v>
      </c>
      <c r="D151" s="35" t="str">
        <f t="shared" si="10"/>
        <v>Bulk Sales 201910</v>
      </c>
      <c r="E151" s="33" t="str">
        <f t="shared" si="11"/>
        <v>Bulk Sales</v>
      </c>
      <c r="F151" s="36" t="str">
        <f t="shared" si="12"/>
        <v>10</v>
      </c>
      <c r="G151" s="36" t="str">
        <f t="shared" si="13"/>
        <v>2019</v>
      </c>
      <c r="H151" s="30">
        <f t="shared" si="14"/>
        <v>662704.93460000004</v>
      </c>
    </row>
    <row r="152" spans="2:8" x14ac:dyDescent="0.35">
      <c r="B152" s="28" t="s">
        <v>180</v>
      </c>
      <c r="C152" s="26">
        <v>1728</v>
      </c>
      <c r="D152" s="35" t="str">
        <f t="shared" si="10"/>
        <v>Bulk Sales Tooling 201910</v>
      </c>
      <c r="E152" s="33" t="str">
        <f t="shared" si="11"/>
        <v>Bulk Sales Tooling</v>
      </c>
      <c r="F152" s="36" t="str">
        <f t="shared" si="12"/>
        <v>10</v>
      </c>
      <c r="G152" s="36" t="str">
        <f t="shared" si="13"/>
        <v>2019</v>
      </c>
      <c r="H152" s="30">
        <f t="shared" si="14"/>
        <v>1728</v>
      </c>
    </row>
    <row r="153" spans="2:8" x14ac:dyDescent="0.35">
      <c r="B153" s="28" t="s">
        <v>181</v>
      </c>
      <c r="C153" s="26">
        <v>319411.89839999995</v>
      </c>
      <c r="D153" s="35" t="str">
        <f t="shared" si="10"/>
        <v>Consumer Sales 201910</v>
      </c>
      <c r="E153" s="33" t="str">
        <f t="shared" si="11"/>
        <v>Consumer Sales</v>
      </c>
      <c r="F153" s="36" t="str">
        <f t="shared" si="12"/>
        <v>10</v>
      </c>
      <c r="G153" s="36" t="str">
        <f t="shared" si="13"/>
        <v>2019</v>
      </c>
      <c r="H153" s="30">
        <f t="shared" si="14"/>
        <v>319411.89839999995</v>
      </c>
    </row>
    <row r="154" spans="2:8" x14ac:dyDescent="0.35">
      <c r="B154" s="28" t="s">
        <v>182</v>
      </c>
      <c r="C154" s="26">
        <v>0</v>
      </c>
      <c r="D154" s="35" t="str">
        <f t="shared" si="10"/>
        <v>Consumer Sales Tooling 201910</v>
      </c>
      <c r="E154" s="33" t="str">
        <f t="shared" si="11"/>
        <v>Consumer Sales Tooling</v>
      </c>
      <c r="F154" s="36" t="str">
        <f t="shared" si="12"/>
        <v>10</v>
      </c>
      <c r="G154" s="36" t="str">
        <f t="shared" si="13"/>
        <v>2019</v>
      </c>
      <c r="H154" s="30">
        <f t="shared" si="14"/>
        <v>0</v>
      </c>
    </row>
    <row r="155" spans="2:8" x14ac:dyDescent="0.35">
      <c r="B155" s="28" t="s">
        <v>183</v>
      </c>
      <c r="C155" s="26">
        <v>26193.599999999999</v>
      </c>
      <c r="D155" s="35" t="str">
        <f t="shared" si="10"/>
        <v>Electronics Sales 201910</v>
      </c>
      <c r="E155" s="33" t="str">
        <f t="shared" si="11"/>
        <v>Electronics Sales</v>
      </c>
      <c r="F155" s="36" t="str">
        <f t="shared" si="12"/>
        <v>10</v>
      </c>
      <c r="G155" s="36" t="str">
        <f t="shared" si="13"/>
        <v>2019</v>
      </c>
      <c r="H155" s="30">
        <f t="shared" si="14"/>
        <v>26193.599999999999</v>
      </c>
    </row>
    <row r="156" spans="2:8" x14ac:dyDescent="0.35">
      <c r="B156" s="28" t="s">
        <v>184</v>
      </c>
      <c r="C156" s="26">
        <v>0</v>
      </c>
      <c r="D156" s="35" t="str">
        <f t="shared" si="10"/>
        <v>Electronics Sales Tooling 201910</v>
      </c>
      <c r="E156" s="33" t="str">
        <f t="shared" si="11"/>
        <v>Electronics Sales Tooling</v>
      </c>
      <c r="F156" s="36" t="str">
        <f t="shared" si="12"/>
        <v>10</v>
      </c>
      <c r="G156" s="36" t="str">
        <f t="shared" si="13"/>
        <v>2019</v>
      </c>
      <c r="H156" s="30">
        <f t="shared" si="14"/>
        <v>0</v>
      </c>
    </row>
    <row r="157" spans="2:8" x14ac:dyDescent="0.35">
      <c r="B157" s="28" t="s">
        <v>185</v>
      </c>
      <c r="C157" s="26">
        <v>50567.535000000003</v>
      </c>
      <c r="D157" s="35" t="str">
        <f t="shared" si="10"/>
        <v>Mechanic Sales 201910</v>
      </c>
      <c r="E157" s="33" t="str">
        <f t="shared" si="11"/>
        <v>Mechanic Sales</v>
      </c>
      <c r="F157" s="36" t="str">
        <f t="shared" si="12"/>
        <v>10</v>
      </c>
      <c r="G157" s="36" t="str">
        <f t="shared" si="13"/>
        <v>2019</v>
      </c>
      <c r="H157" s="30">
        <f t="shared" si="14"/>
        <v>50567.535000000003</v>
      </c>
    </row>
    <row r="158" spans="2:8" x14ac:dyDescent="0.35">
      <c r="B158" s="28" t="s">
        <v>186</v>
      </c>
      <c r="C158" s="26">
        <v>5718.3254999999999</v>
      </c>
      <c r="D158" s="35" t="str">
        <f t="shared" si="10"/>
        <v>Mechanic Sales Tooling 201910</v>
      </c>
      <c r="E158" s="33" t="str">
        <f t="shared" si="11"/>
        <v>Mechanic Sales Tooling</v>
      </c>
      <c r="F158" s="36" t="str">
        <f t="shared" si="12"/>
        <v>10</v>
      </c>
      <c r="G158" s="36" t="str">
        <f t="shared" si="13"/>
        <v>2019</v>
      </c>
      <c r="H158" s="30">
        <f t="shared" si="14"/>
        <v>5718.3254999999999</v>
      </c>
    </row>
    <row r="159" spans="2:8" x14ac:dyDescent="0.35">
      <c r="B159" s="28" t="s">
        <v>187</v>
      </c>
      <c r="C159" s="26">
        <v>0</v>
      </c>
      <c r="D159" s="35" t="str">
        <f t="shared" si="10"/>
        <v>Non Operating sales201910</v>
      </c>
      <c r="E159" s="33" t="str">
        <f t="shared" si="11"/>
        <v>Non Operating sale</v>
      </c>
      <c r="F159" s="36" t="str">
        <f t="shared" si="12"/>
        <v>10</v>
      </c>
      <c r="G159" s="36" t="str">
        <f t="shared" si="13"/>
        <v>2019</v>
      </c>
      <c r="H159" s="30">
        <f t="shared" si="14"/>
        <v>0</v>
      </c>
    </row>
    <row r="160" spans="2:8" x14ac:dyDescent="0.35">
      <c r="B160" s="28" t="s">
        <v>188</v>
      </c>
      <c r="C160" s="26">
        <v>185560.03760000004</v>
      </c>
      <c r="D160" s="35" t="str">
        <f t="shared" si="10"/>
        <v>Partner Sales 201910</v>
      </c>
      <c r="E160" s="33" t="str">
        <f t="shared" si="11"/>
        <v>Partner Sales</v>
      </c>
      <c r="F160" s="36" t="str">
        <f t="shared" si="12"/>
        <v>10</v>
      </c>
      <c r="G160" s="36" t="str">
        <f t="shared" si="13"/>
        <v>2019</v>
      </c>
      <c r="H160" s="30">
        <f t="shared" si="14"/>
        <v>185560.03760000004</v>
      </c>
    </row>
    <row r="161" spans="2:8" x14ac:dyDescent="0.35">
      <c r="B161" s="28" t="s">
        <v>189</v>
      </c>
      <c r="C161" s="26">
        <v>0</v>
      </c>
      <c r="D161" s="35" t="str">
        <f t="shared" si="10"/>
        <v>Partner Sales Tooling 201910</v>
      </c>
      <c r="E161" s="33" t="str">
        <f t="shared" si="11"/>
        <v>Partner Sales Tooling</v>
      </c>
      <c r="F161" s="36" t="str">
        <f t="shared" si="12"/>
        <v>10</v>
      </c>
      <c r="G161" s="36" t="str">
        <f t="shared" si="13"/>
        <v>2019</v>
      </c>
      <c r="H161" s="30">
        <f t="shared" si="14"/>
        <v>0</v>
      </c>
    </row>
    <row r="162" spans="2:8" x14ac:dyDescent="0.35">
      <c r="B162" s="28" t="s">
        <v>190</v>
      </c>
      <c r="C162" s="26">
        <v>-3909.4299999999994</v>
      </c>
      <c r="D162" s="35" t="str">
        <f t="shared" si="10"/>
        <v>Sales - Discounts 201910</v>
      </c>
      <c r="E162" s="33" t="str">
        <f t="shared" si="11"/>
        <v>Sales - Discounts</v>
      </c>
      <c r="F162" s="36" t="str">
        <f t="shared" si="12"/>
        <v>10</v>
      </c>
      <c r="G162" s="36" t="str">
        <f t="shared" si="13"/>
        <v>2019</v>
      </c>
      <c r="H162" s="30">
        <f t="shared" si="14"/>
        <v>-3909.4299999999994</v>
      </c>
    </row>
    <row r="163" spans="2:8" x14ac:dyDescent="0.35">
      <c r="B163" s="28" t="s">
        <v>191</v>
      </c>
      <c r="C163" s="26">
        <v>92.490600000000015</v>
      </c>
      <c r="D163" s="35" t="str">
        <f t="shared" si="10"/>
        <v>Sales - Freight Out 201910</v>
      </c>
      <c r="E163" s="33" t="str">
        <f t="shared" si="11"/>
        <v>Sales - Freight Out</v>
      </c>
      <c r="F163" s="36" t="str">
        <f t="shared" si="12"/>
        <v>10</v>
      </c>
      <c r="G163" s="36" t="str">
        <f t="shared" si="13"/>
        <v>2019</v>
      </c>
      <c r="H163" s="30">
        <f t="shared" si="14"/>
        <v>92.490600000000015</v>
      </c>
    </row>
    <row r="164" spans="2:8" x14ac:dyDescent="0.35">
      <c r="B164" s="28" t="s">
        <v>192</v>
      </c>
      <c r="C164" s="26">
        <v>4299.3999999999996</v>
      </c>
      <c r="D164" s="35" t="str">
        <f t="shared" si="10"/>
        <v>Sales - Returns 201910</v>
      </c>
      <c r="E164" s="33" t="str">
        <f t="shared" si="11"/>
        <v>Sales - Returns</v>
      </c>
      <c r="F164" s="36" t="str">
        <f t="shared" si="12"/>
        <v>10</v>
      </c>
      <c r="G164" s="36" t="str">
        <f t="shared" si="13"/>
        <v>2019</v>
      </c>
      <c r="H164" s="30">
        <f t="shared" si="14"/>
        <v>4299.3999999999996</v>
      </c>
    </row>
    <row r="165" spans="2:8" x14ac:dyDescent="0.35">
      <c r="B165" s="28" t="s">
        <v>193</v>
      </c>
      <c r="C165" s="26">
        <v>242473.93169999999</v>
      </c>
      <c r="D165" s="35" t="str">
        <f t="shared" si="10"/>
        <v>Automotive Sales 201911</v>
      </c>
      <c r="E165" s="33" t="str">
        <f t="shared" si="11"/>
        <v>Automotive Sales</v>
      </c>
      <c r="F165" s="36" t="str">
        <f t="shared" si="12"/>
        <v>11</v>
      </c>
      <c r="G165" s="36" t="str">
        <f t="shared" si="13"/>
        <v>2019</v>
      </c>
      <c r="H165" s="30">
        <f t="shared" si="14"/>
        <v>242473.93169999999</v>
      </c>
    </row>
    <row r="166" spans="2:8" x14ac:dyDescent="0.35">
      <c r="B166" s="28" t="s">
        <v>194</v>
      </c>
      <c r="C166" s="26">
        <v>2650</v>
      </c>
      <c r="D166" s="35" t="str">
        <f t="shared" si="10"/>
        <v>Automotive Sales Tooling 201911</v>
      </c>
      <c r="E166" s="33" t="str">
        <f t="shared" si="11"/>
        <v>Automotive Sales Tooling</v>
      </c>
      <c r="F166" s="36" t="str">
        <f t="shared" si="12"/>
        <v>11</v>
      </c>
      <c r="G166" s="36" t="str">
        <f t="shared" si="13"/>
        <v>2019</v>
      </c>
      <c r="H166" s="30">
        <f t="shared" si="14"/>
        <v>2650</v>
      </c>
    </row>
    <row r="167" spans="2:8" x14ac:dyDescent="0.35">
      <c r="B167" s="28" t="s">
        <v>195</v>
      </c>
      <c r="C167" s="26">
        <v>839806.8918000001</v>
      </c>
      <c r="D167" s="35" t="str">
        <f t="shared" si="10"/>
        <v>Bulk Sales 201911</v>
      </c>
      <c r="E167" s="33" t="str">
        <f t="shared" si="11"/>
        <v>Bulk Sales</v>
      </c>
      <c r="F167" s="36" t="str">
        <f t="shared" si="12"/>
        <v>11</v>
      </c>
      <c r="G167" s="36" t="str">
        <f t="shared" si="13"/>
        <v>2019</v>
      </c>
      <c r="H167" s="30">
        <f t="shared" si="14"/>
        <v>839806.8918000001</v>
      </c>
    </row>
    <row r="168" spans="2:8" x14ac:dyDescent="0.35">
      <c r="B168" s="28" t="s">
        <v>196</v>
      </c>
      <c r="C168" s="26">
        <v>17568</v>
      </c>
      <c r="D168" s="35" t="str">
        <f t="shared" si="10"/>
        <v>Bulk Sales Tooling 201911</v>
      </c>
      <c r="E168" s="33" t="str">
        <f t="shared" si="11"/>
        <v>Bulk Sales Tooling</v>
      </c>
      <c r="F168" s="36" t="str">
        <f t="shared" si="12"/>
        <v>11</v>
      </c>
      <c r="G168" s="36" t="str">
        <f t="shared" si="13"/>
        <v>2019</v>
      </c>
      <c r="H168" s="30">
        <f t="shared" si="14"/>
        <v>17568</v>
      </c>
    </row>
    <row r="169" spans="2:8" x14ac:dyDescent="0.35">
      <c r="B169" s="28" t="s">
        <v>197</v>
      </c>
      <c r="C169" s="26">
        <v>348099.95599999995</v>
      </c>
      <c r="D169" s="35" t="str">
        <f t="shared" si="10"/>
        <v>Consumer Sales 201911</v>
      </c>
      <c r="E169" s="33" t="str">
        <f t="shared" si="11"/>
        <v>Consumer Sales</v>
      </c>
      <c r="F169" s="36" t="str">
        <f t="shared" si="12"/>
        <v>11</v>
      </c>
      <c r="G169" s="36" t="str">
        <f t="shared" si="13"/>
        <v>2019</v>
      </c>
      <c r="H169" s="30">
        <f t="shared" si="14"/>
        <v>348099.95599999995</v>
      </c>
    </row>
    <row r="170" spans="2:8" x14ac:dyDescent="0.35">
      <c r="B170" s="28" t="s">
        <v>198</v>
      </c>
      <c r="C170" s="26">
        <v>0</v>
      </c>
      <c r="D170" s="35" t="str">
        <f t="shared" si="10"/>
        <v>Consumer Sales Tooling 201911</v>
      </c>
      <c r="E170" s="33" t="str">
        <f t="shared" si="11"/>
        <v>Consumer Sales Tooling</v>
      </c>
      <c r="F170" s="36" t="str">
        <f t="shared" si="12"/>
        <v>11</v>
      </c>
      <c r="G170" s="36" t="str">
        <f t="shared" si="13"/>
        <v>2019</v>
      </c>
      <c r="H170" s="30">
        <f t="shared" si="14"/>
        <v>0</v>
      </c>
    </row>
    <row r="171" spans="2:8" x14ac:dyDescent="0.35">
      <c r="B171" s="28" t="s">
        <v>199</v>
      </c>
      <c r="C171" s="26">
        <v>0</v>
      </c>
      <c r="D171" s="35" t="str">
        <f t="shared" si="10"/>
        <v>Electronics Sales 201911</v>
      </c>
      <c r="E171" s="33" t="str">
        <f t="shared" si="11"/>
        <v>Electronics Sales</v>
      </c>
      <c r="F171" s="36" t="str">
        <f t="shared" si="12"/>
        <v>11</v>
      </c>
      <c r="G171" s="36" t="str">
        <f t="shared" si="13"/>
        <v>2019</v>
      </c>
      <c r="H171" s="30">
        <f t="shared" si="14"/>
        <v>0</v>
      </c>
    </row>
    <row r="172" spans="2:8" x14ac:dyDescent="0.35">
      <c r="B172" s="28" t="s">
        <v>200</v>
      </c>
      <c r="C172" s="26">
        <v>0</v>
      </c>
      <c r="D172" s="35" t="str">
        <f t="shared" si="10"/>
        <v>Electronics Sales Tooling 201911</v>
      </c>
      <c r="E172" s="33" t="str">
        <f t="shared" si="11"/>
        <v>Electronics Sales Tooling</v>
      </c>
      <c r="F172" s="36" t="str">
        <f t="shared" si="12"/>
        <v>11</v>
      </c>
      <c r="G172" s="36" t="str">
        <f t="shared" si="13"/>
        <v>2019</v>
      </c>
      <c r="H172" s="30">
        <f t="shared" si="14"/>
        <v>0</v>
      </c>
    </row>
    <row r="173" spans="2:8" x14ac:dyDescent="0.35">
      <c r="B173" s="28" t="s">
        <v>201</v>
      </c>
      <c r="C173" s="26">
        <v>32905.845000000001</v>
      </c>
      <c r="D173" s="35" t="str">
        <f t="shared" si="10"/>
        <v>Mechanic Sales 201911</v>
      </c>
      <c r="E173" s="33" t="str">
        <f t="shared" si="11"/>
        <v>Mechanic Sales</v>
      </c>
      <c r="F173" s="36" t="str">
        <f t="shared" si="12"/>
        <v>11</v>
      </c>
      <c r="G173" s="36" t="str">
        <f t="shared" si="13"/>
        <v>2019</v>
      </c>
      <c r="H173" s="30">
        <f t="shared" si="14"/>
        <v>32905.845000000001</v>
      </c>
    </row>
    <row r="174" spans="2:8" x14ac:dyDescent="0.35">
      <c r="B174" s="28" t="s">
        <v>202</v>
      </c>
      <c r="C174" s="26">
        <v>12666.3966</v>
      </c>
      <c r="D174" s="35" t="str">
        <f t="shared" si="10"/>
        <v>Mechanic Sales Tooling 201911</v>
      </c>
      <c r="E174" s="33" t="str">
        <f t="shared" si="11"/>
        <v>Mechanic Sales Tooling</v>
      </c>
      <c r="F174" s="36" t="str">
        <f t="shared" si="12"/>
        <v>11</v>
      </c>
      <c r="G174" s="36" t="str">
        <f t="shared" si="13"/>
        <v>2019</v>
      </c>
      <c r="H174" s="30">
        <f t="shared" si="14"/>
        <v>12666.3966</v>
      </c>
    </row>
    <row r="175" spans="2:8" x14ac:dyDescent="0.35">
      <c r="B175" s="28" t="s">
        <v>203</v>
      </c>
      <c r="C175" s="26">
        <v>0</v>
      </c>
      <c r="D175" s="35" t="str">
        <f t="shared" si="10"/>
        <v>Non Operating sales201911</v>
      </c>
      <c r="E175" s="33" t="str">
        <f t="shared" si="11"/>
        <v>Non Operating sale</v>
      </c>
      <c r="F175" s="36" t="str">
        <f t="shared" si="12"/>
        <v>11</v>
      </c>
      <c r="G175" s="36" t="str">
        <f t="shared" si="13"/>
        <v>2019</v>
      </c>
      <c r="H175" s="30">
        <f t="shared" si="14"/>
        <v>0</v>
      </c>
    </row>
    <row r="176" spans="2:8" x14ac:dyDescent="0.35">
      <c r="B176" s="28" t="s">
        <v>204</v>
      </c>
      <c r="C176" s="26">
        <v>212568.17980000001</v>
      </c>
      <c r="D176" s="35" t="str">
        <f t="shared" si="10"/>
        <v>Partner Sales 201911</v>
      </c>
      <c r="E176" s="33" t="str">
        <f t="shared" si="11"/>
        <v>Partner Sales</v>
      </c>
      <c r="F176" s="36" t="str">
        <f t="shared" si="12"/>
        <v>11</v>
      </c>
      <c r="G176" s="36" t="str">
        <f t="shared" si="13"/>
        <v>2019</v>
      </c>
      <c r="H176" s="30">
        <f t="shared" si="14"/>
        <v>212568.17980000001</v>
      </c>
    </row>
    <row r="177" spans="2:8" x14ac:dyDescent="0.35">
      <c r="B177" s="28" t="s">
        <v>205</v>
      </c>
      <c r="C177" s="26">
        <v>6091.5929999999998</v>
      </c>
      <c r="D177" s="35" t="str">
        <f t="shared" si="10"/>
        <v>Partner Sales Tooling 201911</v>
      </c>
      <c r="E177" s="33" t="str">
        <f t="shared" si="11"/>
        <v>Partner Sales Tooling</v>
      </c>
      <c r="F177" s="36" t="str">
        <f t="shared" si="12"/>
        <v>11</v>
      </c>
      <c r="G177" s="36" t="str">
        <f t="shared" si="13"/>
        <v>2019</v>
      </c>
      <c r="H177" s="30">
        <f t="shared" si="14"/>
        <v>6091.5929999999998</v>
      </c>
    </row>
    <row r="178" spans="2:8" x14ac:dyDescent="0.35">
      <c r="B178" s="28" t="s">
        <v>206</v>
      </c>
      <c r="C178" s="26">
        <v>-1539.5519999999999</v>
      </c>
      <c r="D178" s="35" t="str">
        <f t="shared" si="10"/>
        <v>Sales - Discounts 201911</v>
      </c>
      <c r="E178" s="33" t="str">
        <f t="shared" si="11"/>
        <v>Sales - Discounts</v>
      </c>
      <c r="F178" s="36" t="str">
        <f t="shared" si="12"/>
        <v>11</v>
      </c>
      <c r="G178" s="36" t="str">
        <f t="shared" si="13"/>
        <v>2019</v>
      </c>
      <c r="H178" s="30">
        <f t="shared" si="14"/>
        <v>-1539.5519999999999</v>
      </c>
    </row>
    <row r="179" spans="2:8" x14ac:dyDescent="0.35">
      <c r="B179" s="28" t="s">
        <v>207</v>
      </c>
      <c r="C179" s="26">
        <v>240.12250000000003</v>
      </c>
      <c r="D179" s="35" t="str">
        <f t="shared" si="10"/>
        <v>Sales - Freight Out 201911</v>
      </c>
      <c r="E179" s="33" t="str">
        <f t="shared" si="11"/>
        <v>Sales - Freight Out</v>
      </c>
      <c r="F179" s="36" t="str">
        <f t="shared" si="12"/>
        <v>11</v>
      </c>
      <c r="G179" s="36" t="str">
        <f t="shared" si="13"/>
        <v>2019</v>
      </c>
      <c r="H179" s="30">
        <f t="shared" si="14"/>
        <v>240.12250000000003</v>
      </c>
    </row>
    <row r="180" spans="2:8" x14ac:dyDescent="0.35">
      <c r="B180" s="28" t="s">
        <v>208</v>
      </c>
      <c r="C180" s="26">
        <v>-8175.3125</v>
      </c>
      <c r="D180" s="35" t="str">
        <f t="shared" si="10"/>
        <v>Sales - Returns 201911</v>
      </c>
      <c r="E180" s="33" t="str">
        <f t="shared" si="11"/>
        <v>Sales - Returns</v>
      </c>
      <c r="F180" s="36" t="str">
        <f t="shared" si="12"/>
        <v>11</v>
      </c>
      <c r="G180" s="36" t="str">
        <f t="shared" si="13"/>
        <v>2019</v>
      </c>
      <c r="H180" s="30">
        <f t="shared" si="14"/>
        <v>-8175.3125</v>
      </c>
    </row>
    <row r="181" spans="2:8" x14ac:dyDescent="0.35">
      <c r="B181" s="28" t="s">
        <v>209</v>
      </c>
      <c r="C181" s="26">
        <v>545756.86879999994</v>
      </c>
      <c r="D181" s="35" t="str">
        <f t="shared" si="10"/>
        <v>Automotive Sales 201912</v>
      </c>
      <c r="E181" s="33" t="str">
        <f t="shared" si="11"/>
        <v>Automotive Sales</v>
      </c>
      <c r="F181" s="36" t="str">
        <f t="shared" si="12"/>
        <v>12</v>
      </c>
      <c r="G181" s="36" t="str">
        <f t="shared" si="13"/>
        <v>2019</v>
      </c>
      <c r="H181" s="30">
        <f t="shared" si="14"/>
        <v>545756.86879999994</v>
      </c>
    </row>
    <row r="182" spans="2:8" x14ac:dyDescent="0.35">
      <c r="B182" s="28" t="s">
        <v>210</v>
      </c>
      <c r="C182" s="26">
        <v>43942.3</v>
      </c>
      <c r="D182" s="35" t="str">
        <f t="shared" si="10"/>
        <v>Automotive Sales Tooling 201912</v>
      </c>
      <c r="E182" s="33" t="str">
        <f t="shared" si="11"/>
        <v>Automotive Sales Tooling</v>
      </c>
      <c r="F182" s="36" t="str">
        <f t="shared" si="12"/>
        <v>12</v>
      </c>
      <c r="G182" s="36" t="str">
        <f t="shared" si="13"/>
        <v>2019</v>
      </c>
      <c r="H182" s="30">
        <f t="shared" si="14"/>
        <v>43942.3</v>
      </c>
    </row>
    <row r="183" spans="2:8" x14ac:dyDescent="0.35">
      <c r="B183" s="28" t="s">
        <v>211</v>
      </c>
      <c r="C183" s="26">
        <v>990469.1725000001</v>
      </c>
      <c r="D183" s="35" t="str">
        <f t="shared" si="10"/>
        <v>Bulk Sales 201912</v>
      </c>
      <c r="E183" s="33" t="str">
        <f t="shared" si="11"/>
        <v>Bulk Sales</v>
      </c>
      <c r="F183" s="36" t="str">
        <f t="shared" si="12"/>
        <v>12</v>
      </c>
      <c r="G183" s="36" t="str">
        <f t="shared" si="13"/>
        <v>2019</v>
      </c>
      <c r="H183" s="30">
        <f t="shared" si="14"/>
        <v>990469.1725000001</v>
      </c>
    </row>
    <row r="184" spans="2:8" x14ac:dyDescent="0.35">
      <c r="B184" s="28" t="s">
        <v>212</v>
      </c>
      <c r="C184" s="26">
        <v>24336</v>
      </c>
      <c r="D184" s="35" t="str">
        <f t="shared" si="10"/>
        <v>Bulk Sales Tooling 201912</v>
      </c>
      <c r="E184" s="33" t="str">
        <f t="shared" si="11"/>
        <v>Bulk Sales Tooling</v>
      </c>
      <c r="F184" s="36" t="str">
        <f t="shared" si="12"/>
        <v>12</v>
      </c>
      <c r="G184" s="36" t="str">
        <f t="shared" si="13"/>
        <v>2019</v>
      </c>
      <c r="H184" s="30">
        <f t="shared" si="14"/>
        <v>24336</v>
      </c>
    </row>
    <row r="185" spans="2:8" x14ac:dyDescent="0.35">
      <c r="B185" s="28" t="s">
        <v>213</v>
      </c>
      <c r="C185" s="26">
        <v>794930.41759999993</v>
      </c>
      <c r="D185" s="35" t="str">
        <f t="shared" si="10"/>
        <v>Consumer Sales 201912</v>
      </c>
      <c r="E185" s="33" t="str">
        <f t="shared" si="11"/>
        <v>Consumer Sales</v>
      </c>
      <c r="F185" s="36" t="str">
        <f t="shared" si="12"/>
        <v>12</v>
      </c>
      <c r="G185" s="36" t="str">
        <f t="shared" si="13"/>
        <v>2019</v>
      </c>
      <c r="H185" s="30">
        <f t="shared" si="14"/>
        <v>794930.41759999993</v>
      </c>
    </row>
    <row r="186" spans="2:8" x14ac:dyDescent="0.35">
      <c r="B186" s="28" t="s">
        <v>214</v>
      </c>
      <c r="C186" s="26">
        <v>41328</v>
      </c>
      <c r="D186" s="35" t="str">
        <f t="shared" si="10"/>
        <v>Consumer Sales Tooling 201912</v>
      </c>
      <c r="E186" s="33" t="str">
        <f t="shared" si="11"/>
        <v>Consumer Sales Tooling</v>
      </c>
      <c r="F186" s="36" t="str">
        <f t="shared" si="12"/>
        <v>12</v>
      </c>
      <c r="G186" s="36" t="str">
        <f t="shared" si="13"/>
        <v>2019</v>
      </c>
      <c r="H186" s="30">
        <f t="shared" si="14"/>
        <v>41328</v>
      </c>
    </row>
    <row r="187" spans="2:8" x14ac:dyDescent="0.35">
      <c r="B187" s="28" t="s">
        <v>215</v>
      </c>
      <c r="C187" s="26">
        <v>16419.599999999999</v>
      </c>
      <c r="D187" s="35" t="str">
        <f t="shared" si="10"/>
        <v>Electronics Sales 201912</v>
      </c>
      <c r="E187" s="33" t="str">
        <f t="shared" si="11"/>
        <v>Electronics Sales</v>
      </c>
      <c r="F187" s="36" t="str">
        <f t="shared" si="12"/>
        <v>12</v>
      </c>
      <c r="G187" s="36" t="str">
        <f t="shared" si="13"/>
        <v>2019</v>
      </c>
      <c r="H187" s="30">
        <f t="shared" si="14"/>
        <v>16419.599999999999</v>
      </c>
    </row>
    <row r="188" spans="2:8" x14ac:dyDescent="0.35">
      <c r="B188" s="28" t="s">
        <v>216</v>
      </c>
      <c r="C188" s="26">
        <v>0</v>
      </c>
      <c r="D188" s="35" t="str">
        <f t="shared" si="10"/>
        <v>Electronics Sales Tooling 201912</v>
      </c>
      <c r="E188" s="33" t="str">
        <f t="shared" si="11"/>
        <v>Electronics Sales Tooling</v>
      </c>
      <c r="F188" s="36" t="str">
        <f t="shared" si="12"/>
        <v>12</v>
      </c>
      <c r="G188" s="36" t="str">
        <f t="shared" si="13"/>
        <v>2019</v>
      </c>
      <c r="H188" s="30">
        <f t="shared" si="14"/>
        <v>0</v>
      </c>
    </row>
    <row r="189" spans="2:8" x14ac:dyDescent="0.35">
      <c r="B189" s="28" t="s">
        <v>217</v>
      </c>
      <c r="C189" s="26">
        <v>102928.56</v>
      </c>
      <c r="D189" s="35" t="str">
        <f t="shared" si="10"/>
        <v>Mechanic Sales 201912</v>
      </c>
      <c r="E189" s="33" t="str">
        <f t="shared" si="11"/>
        <v>Mechanic Sales</v>
      </c>
      <c r="F189" s="36" t="str">
        <f t="shared" si="12"/>
        <v>12</v>
      </c>
      <c r="G189" s="36" t="str">
        <f t="shared" si="13"/>
        <v>2019</v>
      </c>
      <c r="H189" s="30">
        <f t="shared" si="14"/>
        <v>102928.56</v>
      </c>
    </row>
    <row r="190" spans="2:8" x14ac:dyDescent="0.35">
      <c r="B190" s="28" t="s">
        <v>218</v>
      </c>
      <c r="C190" s="26">
        <v>94630.739999999991</v>
      </c>
      <c r="D190" s="35" t="str">
        <f t="shared" si="10"/>
        <v>Mechanic Sales Tooling 201912</v>
      </c>
      <c r="E190" s="33" t="str">
        <f t="shared" si="11"/>
        <v>Mechanic Sales Tooling</v>
      </c>
      <c r="F190" s="36" t="str">
        <f t="shared" si="12"/>
        <v>12</v>
      </c>
      <c r="G190" s="36" t="str">
        <f t="shared" si="13"/>
        <v>2019</v>
      </c>
      <c r="H190" s="30">
        <f t="shared" si="14"/>
        <v>94630.739999999991</v>
      </c>
    </row>
    <row r="191" spans="2:8" x14ac:dyDescent="0.35">
      <c r="B191" s="28" t="s">
        <v>219</v>
      </c>
      <c r="C191" s="26">
        <v>0</v>
      </c>
      <c r="D191" s="35" t="str">
        <f t="shared" si="10"/>
        <v>Non Operating sales201912</v>
      </c>
      <c r="E191" s="33" t="str">
        <f t="shared" si="11"/>
        <v>Non Operating sale</v>
      </c>
      <c r="F191" s="36" t="str">
        <f t="shared" si="12"/>
        <v>12</v>
      </c>
      <c r="G191" s="36" t="str">
        <f t="shared" si="13"/>
        <v>2019</v>
      </c>
      <c r="H191" s="30">
        <f t="shared" si="14"/>
        <v>0</v>
      </c>
    </row>
    <row r="192" spans="2:8" x14ac:dyDescent="0.35">
      <c r="B192" s="28" t="s">
        <v>220</v>
      </c>
      <c r="C192" s="26">
        <v>321703.31400000001</v>
      </c>
      <c r="D192" s="35" t="str">
        <f t="shared" si="10"/>
        <v>Partner Sales 201912</v>
      </c>
      <c r="E192" s="33" t="str">
        <f t="shared" si="11"/>
        <v>Partner Sales</v>
      </c>
      <c r="F192" s="36" t="str">
        <f t="shared" si="12"/>
        <v>12</v>
      </c>
      <c r="G192" s="36" t="str">
        <f t="shared" si="13"/>
        <v>2019</v>
      </c>
      <c r="H192" s="30">
        <f t="shared" si="14"/>
        <v>321703.31400000001</v>
      </c>
    </row>
    <row r="193" spans="2:8" x14ac:dyDescent="0.35">
      <c r="B193" s="28" t="s">
        <v>221</v>
      </c>
      <c r="C193" s="26">
        <v>137593.5</v>
      </c>
      <c r="D193" s="35" t="str">
        <f t="shared" si="10"/>
        <v>Partner Sales Tooling 201912</v>
      </c>
      <c r="E193" s="33" t="str">
        <f t="shared" si="11"/>
        <v>Partner Sales Tooling</v>
      </c>
      <c r="F193" s="36" t="str">
        <f t="shared" si="12"/>
        <v>12</v>
      </c>
      <c r="G193" s="36" t="str">
        <f t="shared" si="13"/>
        <v>2019</v>
      </c>
      <c r="H193" s="30">
        <f t="shared" si="14"/>
        <v>137593.5</v>
      </c>
    </row>
    <row r="194" spans="2:8" x14ac:dyDescent="0.35">
      <c r="B194" s="28" t="s">
        <v>222</v>
      </c>
      <c r="C194" s="26">
        <v>-4759.482</v>
      </c>
      <c r="D194" s="35" t="str">
        <f t="shared" si="10"/>
        <v>Sales - Discounts 201912</v>
      </c>
      <c r="E194" s="33" t="str">
        <f t="shared" si="11"/>
        <v>Sales - Discounts</v>
      </c>
      <c r="F194" s="36" t="str">
        <f t="shared" si="12"/>
        <v>12</v>
      </c>
      <c r="G194" s="36" t="str">
        <f t="shared" si="13"/>
        <v>2019</v>
      </c>
      <c r="H194" s="30">
        <f t="shared" si="14"/>
        <v>-4759.482</v>
      </c>
    </row>
    <row r="195" spans="2:8" x14ac:dyDescent="0.35">
      <c r="B195" s="28" t="s">
        <v>223</v>
      </c>
      <c r="C195" s="26">
        <v>264.00270000000006</v>
      </c>
      <c r="D195" s="35" t="str">
        <f t="shared" si="10"/>
        <v>Sales - Freight Out 201912</v>
      </c>
      <c r="E195" s="33" t="str">
        <f t="shared" si="11"/>
        <v>Sales - Freight Out</v>
      </c>
      <c r="F195" s="36" t="str">
        <f t="shared" si="12"/>
        <v>12</v>
      </c>
      <c r="G195" s="36" t="str">
        <f t="shared" si="13"/>
        <v>2019</v>
      </c>
      <c r="H195" s="30">
        <f t="shared" si="14"/>
        <v>264.00270000000006</v>
      </c>
    </row>
    <row r="196" spans="2:8" x14ac:dyDescent="0.35">
      <c r="B196" s="28" t="s">
        <v>224</v>
      </c>
      <c r="C196" s="26">
        <v>-10527.449999999999</v>
      </c>
      <c r="D196" s="35" t="str">
        <f t="shared" si="10"/>
        <v>Sales - Returns 201912</v>
      </c>
      <c r="E196" s="33" t="str">
        <f t="shared" si="11"/>
        <v>Sales - Returns</v>
      </c>
      <c r="F196" s="36" t="str">
        <f t="shared" si="12"/>
        <v>12</v>
      </c>
      <c r="G196" s="36" t="str">
        <f t="shared" si="13"/>
        <v>2019</v>
      </c>
      <c r="H196" s="30">
        <f t="shared" si="14"/>
        <v>-10527.449999999999</v>
      </c>
    </row>
    <row r="197" spans="2:8" x14ac:dyDescent="0.35">
      <c r="B197" s="28" t="s">
        <v>225</v>
      </c>
      <c r="C197" s="26">
        <v>144562.93280000001</v>
      </c>
      <c r="D197" s="35" t="str">
        <f t="shared" si="10"/>
        <v>Automotive Sales 201801</v>
      </c>
      <c r="E197" s="33" t="str">
        <f t="shared" si="11"/>
        <v>Automotive Sales</v>
      </c>
      <c r="F197" s="36" t="str">
        <f t="shared" si="12"/>
        <v>01</v>
      </c>
      <c r="G197" s="36" t="str">
        <f t="shared" si="13"/>
        <v>2018</v>
      </c>
      <c r="H197" s="30">
        <f t="shared" si="14"/>
        <v>144562.93280000001</v>
      </c>
    </row>
    <row r="198" spans="2:8" x14ac:dyDescent="0.35">
      <c r="B198" s="28" t="s">
        <v>226</v>
      </c>
      <c r="C198" s="26">
        <v>0</v>
      </c>
      <c r="D198" s="35" t="str">
        <f t="shared" ref="D198:D261" si="15">TRIM(B198)</f>
        <v>Automotive Sales Tooling 201801</v>
      </c>
      <c r="E198" s="33" t="str">
        <f t="shared" ref="E198:E261" si="16">LEFT(D198,LEN(D198)-7)</f>
        <v>Automotive Sales Tooling</v>
      </c>
      <c r="F198" s="36" t="str">
        <f t="shared" ref="F198:F261" si="17">RIGHT(D198,2)</f>
        <v>01</v>
      </c>
      <c r="G198" s="36" t="str">
        <f t="shared" ref="G198:G261" si="18">RIGHT(LEFT(D198,LEN(D198)-2),4)</f>
        <v>2018</v>
      </c>
      <c r="H198" s="30">
        <f t="shared" ref="H198:H261" si="19">C198</f>
        <v>0</v>
      </c>
    </row>
    <row r="199" spans="2:8" x14ac:dyDescent="0.35">
      <c r="B199" s="28" t="s">
        <v>227</v>
      </c>
      <c r="C199" s="26">
        <v>972997.84550000005</v>
      </c>
      <c r="D199" s="35" t="str">
        <f t="shared" si="15"/>
        <v>Bulk Sales 201801</v>
      </c>
      <c r="E199" s="33" t="str">
        <f t="shared" si="16"/>
        <v>Bulk Sales</v>
      </c>
      <c r="F199" s="36" t="str">
        <f t="shared" si="17"/>
        <v>01</v>
      </c>
      <c r="G199" s="36" t="str">
        <f t="shared" si="18"/>
        <v>2018</v>
      </c>
      <c r="H199" s="30">
        <f t="shared" si="19"/>
        <v>972997.84550000005</v>
      </c>
    </row>
    <row r="200" spans="2:8" x14ac:dyDescent="0.35">
      <c r="B200" s="28" t="s">
        <v>228</v>
      </c>
      <c r="C200" s="26">
        <v>0</v>
      </c>
      <c r="D200" s="35" t="str">
        <f t="shared" si="15"/>
        <v>Bulk Sales Tooling 201801</v>
      </c>
      <c r="E200" s="33" t="str">
        <f t="shared" si="16"/>
        <v>Bulk Sales Tooling</v>
      </c>
      <c r="F200" s="36" t="str">
        <f t="shared" si="17"/>
        <v>01</v>
      </c>
      <c r="G200" s="36" t="str">
        <f t="shared" si="18"/>
        <v>2018</v>
      </c>
      <c r="H200" s="30">
        <f t="shared" si="19"/>
        <v>0</v>
      </c>
    </row>
    <row r="201" spans="2:8" x14ac:dyDescent="0.35">
      <c r="B201" s="28" t="s">
        <v>229</v>
      </c>
      <c r="C201" s="26">
        <v>351063.88559999998</v>
      </c>
      <c r="D201" s="35" t="str">
        <f t="shared" si="15"/>
        <v>Consumer Sales 201801</v>
      </c>
      <c r="E201" s="33" t="str">
        <f t="shared" si="16"/>
        <v>Consumer Sales</v>
      </c>
      <c r="F201" s="36" t="str">
        <f t="shared" si="17"/>
        <v>01</v>
      </c>
      <c r="G201" s="36" t="str">
        <f t="shared" si="18"/>
        <v>2018</v>
      </c>
      <c r="H201" s="30">
        <f t="shared" si="19"/>
        <v>351063.88559999998</v>
      </c>
    </row>
    <row r="202" spans="2:8" x14ac:dyDescent="0.35">
      <c r="B202" s="28" t="s">
        <v>230</v>
      </c>
      <c r="C202" s="26">
        <v>6120</v>
      </c>
      <c r="D202" s="35" t="str">
        <f t="shared" si="15"/>
        <v>Consumer Sales Tooling 201801</v>
      </c>
      <c r="E202" s="33" t="str">
        <f t="shared" si="16"/>
        <v>Consumer Sales Tooling</v>
      </c>
      <c r="F202" s="36" t="str">
        <f t="shared" si="17"/>
        <v>01</v>
      </c>
      <c r="G202" s="36" t="str">
        <f t="shared" si="18"/>
        <v>2018</v>
      </c>
      <c r="H202" s="30">
        <f t="shared" si="19"/>
        <v>6120</v>
      </c>
    </row>
    <row r="203" spans="2:8" x14ac:dyDescent="0.35">
      <c r="B203" s="28" t="s">
        <v>231</v>
      </c>
      <c r="C203" s="26">
        <v>20704.982399999997</v>
      </c>
      <c r="D203" s="35" t="str">
        <f t="shared" si="15"/>
        <v>Electronics Sales 201801</v>
      </c>
      <c r="E203" s="33" t="str">
        <f t="shared" si="16"/>
        <v>Electronics Sales</v>
      </c>
      <c r="F203" s="36" t="str">
        <f t="shared" si="17"/>
        <v>01</v>
      </c>
      <c r="G203" s="36" t="str">
        <f t="shared" si="18"/>
        <v>2018</v>
      </c>
      <c r="H203" s="30">
        <f t="shared" si="19"/>
        <v>20704.982399999997</v>
      </c>
    </row>
    <row r="204" spans="2:8" x14ac:dyDescent="0.35">
      <c r="B204" s="28" t="s">
        <v>232</v>
      </c>
      <c r="C204" s="26">
        <v>0</v>
      </c>
      <c r="D204" s="35" t="str">
        <f t="shared" si="15"/>
        <v>Electronics Sales Tooling 201801</v>
      </c>
      <c r="E204" s="33" t="str">
        <f t="shared" si="16"/>
        <v>Electronics Sales Tooling</v>
      </c>
      <c r="F204" s="36" t="str">
        <f t="shared" si="17"/>
        <v>01</v>
      </c>
      <c r="G204" s="36" t="str">
        <f t="shared" si="18"/>
        <v>2018</v>
      </c>
      <c r="H204" s="30">
        <f t="shared" si="19"/>
        <v>0</v>
      </c>
    </row>
    <row r="205" spans="2:8" x14ac:dyDescent="0.35">
      <c r="B205" s="28" t="s">
        <v>233</v>
      </c>
      <c r="C205" s="26">
        <v>0</v>
      </c>
      <c r="D205" s="35" t="str">
        <f t="shared" si="15"/>
        <v>Mechanic Sales 201801</v>
      </c>
      <c r="E205" s="33" t="str">
        <f t="shared" si="16"/>
        <v>Mechanic Sales</v>
      </c>
      <c r="F205" s="36" t="str">
        <f t="shared" si="17"/>
        <v>01</v>
      </c>
      <c r="G205" s="36" t="str">
        <f t="shared" si="18"/>
        <v>2018</v>
      </c>
      <c r="H205" s="30">
        <f t="shared" si="19"/>
        <v>0</v>
      </c>
    </row>
    <row r="206" spans="2:8" x14ac:dyDescent="0.35">
      <c r="B206" s="28" t="s">
        <v>234</v>
      </c>
      <c r="C206" s="26">
        <v>0</v>
      </c>
      <c r="D206" s="35" t="str">
        <f t="shared" si="15"/>
        <v>Mechanic Sales Tooling 201801</v>
      </c>
      <c r="E206" s="33" t="str">
        <f t="shared" si="16"/>
        <v>Mechanic Sales Tooling</v>
      </c>
      <c r="F206" s="36" t="str">
        <f t="shared" si="17"/>
        <v>01</v>
      </c>
      <c r="G206" s="36" t="str">
        <f t="shared" si="18"/>
        <v>2018</v>
      </c>
      <c r="H206" s="30">
        <f t="shared" si="19"/>
        <v>0</v>
      </c>
    </row>
    <row r="207" spans="2:8" x14ac:dyDescent="0.35">
      <c r="B207" s="28" t="s">
        <v>235</v>
      </c>
      <c r="C207" s="26">
        <v>0</v>
      </c>
      <c r="D207" s="35" t="str">
        <f t="shared" si="15"/>
        <v>Non Operating sales201801</v>
      </c>
      <c r="E207" s="33" t="str">
        <f t="shared" si="16"/>
        <v>Non Operating sale</v>
      </c>
      <c r="F207" s="36" t="str">
        <f t="shared" si="17"/>
        <v>01</v>
      </c>
      <c r="G207" s="36" t="str">
        <f t="shared" si="18"/>
        <v>2018</v>
      </c>
      <c r="H207" s="30">
        <f t="shared" si="19"/>
        <v>0</v>
      </c>
    </row>
    <row r="208" spans="2:8" x14ac:dyDescent="0.35">
      <c r="B208" s="28" t="s">
        <v>236</v>
      </c>
      <c r="C208" s="26">
        <v>148571.77640000003</v>
      </c>
      <c r="D208" s="35" t="str">
        <f t="shared" si="15"/>
        <v>Partner Sales 201801</v>
      </c>
      <c r="E208" s="33" t="str">
        <f t="shared" si="16"/>
        <v>Partner Sales</v>
      </c>
      <c r="F208" s="36" t="str">
        <f t="shared" si="17"/>
        <v>01</v>
      </c>
      <c r="G208" s="36" t="str">
        <f t="shared" si="18"/>
        <v>2018</v>
      </c>
      <c r="H208" s="30">
        <f t="shared" si="19"/>
        <v>148571.77640000003</v>
      </c>
    </row>
    <row r="209" spans="2:8" x14ac:dyDescent="0.35">
      <c r="B209" s="28" t="s">
        <v>237</v>
      </c>
      <c r="C209" s="26">
        <v>66629.849999999991</v>
      </c>
      <c r="D209" s="35" t="str">
        <f t="shared" si="15"/>
        <v>Partner Sales Tooling 201801</v>
      </c>
      <c r="E209" s="33" t="str">
        <f t="shared" si="16"/>
        <v>Partner Sales Tooling</v>
      </c>
      <c r="F209" s="36" t="str">
        <f t="shared" si="17"/>
        <v>01</v>
      </c>
      <c r="G209" s="36" t="str">
        <f t="shared" si="18"/>
        <v>2018</v>
      </c>
      <c r="H209" s="30">
        <f t="shared" si="19"/>
        <v>66629.849999999991</v>
      </c>
    </row>
    <row r="210" spans="2:8" x14ac:dyDescent="0.35">
      <c r="B210" s="28" t="s">
        <v>238</v>
      </c>
      <c r="C210" s="26">
        <v>-3504.116</v>
      </c>
      <c r="D210" s="35" t="str">
        <f t="shared" si="15"/>
        <v>Sales - Discounts 201801</v>
      </c>
      <c r="E210" s="33" t="str">
        <f t="shared" si="16"/>
        <v>Sales - Discounts</v>
      </c>
      <c r="F210" s="36" t="str">
        <f t="shared" si="17"/>
        <v>01</v>
      </c>
      <c r="G210" s="36" t="str">
        <f t="shared" si="18"/>
        <v>2018</v>
      </c>
      <c r="H210" s="30">
        <f t="shared" si="19"/>
        <v>-3504.116</v>
      </c>
    </row>
    <row r="211" spans="2:8" x14ac:dyDescent="0.35">
      <c r="B211" s="28" t="s">
        <v>239</v>
      </c>
      <c r="C211" s="26">
        <v>159.82220000000001</v>
      </c>
      <c r="D211" s="35" t="str">
        <f t="shared" si="15"/>
        <v>Sales - Freight Out 201801</v>
      </c>
      <c r="E211" s="33" t="str">
        <f t="shared" si="16"/>
        <v>Sales - Freight Out</v>
      </c>
      <c r="F211" s="36" t="str">
        <f t="shared" si="17"/>
        <v>01</v>
      </c>
      <c r="G211" s="36" t="str">
        <f t="shared" si="18"/>
        <v>2018</v>
      </c>
      <c r="H211" s="30">
        <f t="shared" si="19"/>
        <v>159.82220000000001</v>
      </c>
    </row>
    <row r="212" spans="2:8" x14ac:dyDescent="0.35">
      <c r="B212" s="28" t="s">
        <v>240</v>
      </c>
      <c r="C212" s="26">
        <v>-18208.349999999999</v>
      </c>
      <c r="D212" s="35" t="str">
        <f t="shared" si="15"/>
        <v>Sales - Returns 201801</v>
      </c>
      <c r="E212" s="33" t="str">
        <f t="shared" si="16"/>
        <v>Sales - Returns</v>
      </c>
      <c r="F212" s="36" t="str">
        <f t="shared" si="17"/>
        <v>01</v>
      </c>
      <c r="G212" s="36" t="str">
        <f t="shared" si="18"/>
        <v>2018</v>
      </c>
      <c r="H212" s="30">
        <f t="shared" si="19"/>
        <v>-18208.349999999999</v>
      </c>
    </row>
    <row r="213" spans="2:8" x14ac:dyDescent="0.35">
      <c r="B213" s="28" t="s">
        <v>241</v>
      </c>
      <c r="C213" s="26">
        <v>85186.987599999993</v>
      </c>
      <c r="D213" s="35" t="str">
        <f t="shared" si="15"/>
        <v>Automotive Sales 201802</v>
      </c>
      <c r="E213" s="33" t="str">
        <f t="shared" si="16"/>
        <v>Automotive Sales</v>
      </c>
      <c r="F213" s="36" t="str">
        <f t="shared" si="17"/>
        <v>02</v>
      </c>
      <c r="G213" s="36" t="str">
        <f t="shared" si="18"/>
        <v>2018</v>
      </c>
      <c r="H213" s="30">
        <f t="shared" si="19"/>
        <v>85186.987599999993</v>
      </c>
    </row>
    <row r="214" spans="2:8" x14ac:dyDescent="0.35">
      <c r="B214" s="28" t="s">
        <v>242</v>
      </c>
      <c r="C214" s="26">
        <v>0</v>
      </c>
      <c r="D214" s="35" t="str">
        <f t="shared" si="15"/>
        <v>Automotive Sales Tooling 201802</v>
      </c>
      <c r="E214" s="33" t="str">
        <f t="shared" si="16"/>
        <v>Automotive Sales Tooling</v>
      </c>
      <c r="F214" s="36" t="str">
        <f t="shared" si="17"/>
        <v>02</v>
      </c>
      <c r="G214" s="36" t="str">
        <f t="shared" si="18"/>
        <v>2018</v>
      </c>
      <c r="H214" s="30">
        <f t="shared" si="19"/>
        <v>0</v>
      </c>
    </row>
    <row r="215" spans="2:8" x14ac:dyDescent="0.35">
      <c r="B215" s="28" t="s">
        <v>243</v>
      </c>
      <c r="C215" s="26">
        <v>726308.80480000004</v>
      </c>
      <c r="D215" s="35" t="str">
        <f t="shared" si="15"/>
        <v>Bulk Sales 201802</v>
      </c>
      <c r="E215" s="33" t="str">
        <f t="shared" si="16"/>
        <v>Bulk Sales</v>
      </c>
      <c r="F215" s="36" t="str">
        <f t="shared" si="17"/>
        <v>02</v>
      </c>
      <c r="G215" s="36" t="str">
        <f t="shared" si="18"/>
        <v>2018</v>
      </c>
      <c r="H215" s="30">
        <f t="shared" si="19"/>
        <v>726308.80480000004</v>
      </c>
    </row>
    <row r="216" spans="2:8" x14ac:dyDescent="0.35">
      <c r="B216" s="28" t="s">
        <v>244</v>
      </c>
      <c r="C216" s="26">
        <v>50976</v>
      </c>
      <c r="D216" s="35" t="str">
        <f t="shared" si="15"/>
        <v>Bulk Sales Tooling 201802</v>
      </c>
      <c r="E216" s="33" t="str">
        <f t="shared" si="16"/>
        <v>Bulk Sales Tooling</v>
      </c>
      <c r="F216" s="36" t="str">
        <f t="shared" si="17"/>
        <v>02</v>
      </c>
      <c r="G216" s="36" t="str">
        <f t="shared" si="18"/>
        <v>2018</v>
      </c>
      <c r="H216" s="30">
        <f t="shared" si="19"/>
        <v>50976</v>
      </c>
    </row>
    <row r="217" spans="2:8" x14ac:dyDescent="0.35">
      <c r="B217" s="28" t="s">
        <v>245</v>
      </c>
      <c r="C217" s="26">
        <v>407551.09119999997</v>
      </c>
      <c r="D217" s="35" t="str">
        <f t="shared" si="15"/>
        <v>Consumer Sales 201802</v>
      </c>
      <c r="E217" s="33" t="str">
        <f t="shared" si="16"/>
        <v>Consumer Sales</v>
      </c>
      <c r="F217" s="36" t="str">
        <f t="shared" si="17"/>
        <v>02</v>
      </c>
      <c r="G217" s="36" t="str">
        <f t="shared" si="18"/>
        <v>2018</v>
      </c>
      <c r="H217" s="30">
        <f t="shared" si="19"/>
        <v>407551.09119999997</v>
      </c>
    </row>
    <row r="218" spans="2:8" x14ac:dyDescent="0.35">
      <c r="B218" s="28" t="s">
        <v>246</v>
      </c>
      <c r="C218" s="26">
        <v>69696</v>
      </c>
      <c r="D218" s="35" t="str">
        <f t="shared" si="15"/>
        <v>Consumer Sales Tooling 201802</v>
      </c>
      <c r="E218" s="33" t="str">
        <f t="shared" si="16"/>
        <v>Consumer Sales Tooling</v>
      </c>
      <c r="F218" s="36" t="str">
        <f t="shared" si="17"/>
        <v>02</v>
      </c>
      <c r="G218" s="36" t="str">
        <f t="shared" si="18"/>
        <v>2018</v>
      </c>
      <c r="H218" s="30">
        <f t="shared" si="19"/>
        <v>69696</v>
      </c>
    </row>
    <row r="219" spans="2:8" x14ac:dyDescent="0.35">
      <c r="B219" s="28" t="s">
        <v>247</v>
      </c>
      <c r="C219" s="26">
        <v>5994.9359999999997</v>
      </c>
      <c r="D219" s="35" t="str">
        <f t="shared" si="15"/>
        <v>Electronics Sales 201802</v>
      </c>
      <c r="E219" s="33" t="str">
        <f t="shared" si="16"/>
        <v>Electronics Sales</v>
      </c>
      <c r="F219" s="36" t="str">
        <f t="shared" si="17"/>
        <v>02</v>
      </c>
      <c r="G219" s="36" t="str">
        <f t="shared" si="18"/>
        <v>2018</v>
      </c>
      <c r="H219" s="30">
        <f t="shared" si="19"/>
        <v>5994.9359999999997</v>
      </c>
    </row>
    <row r="220" spans="2:8" x14ac:dyDescent="0.35">
      <c r="B220" s="28" t="s">
        <v>248</v>
      </c>
      <c r="C220" s="26">
        <v>0</v>
      </c>
      <c r="D220" s="35" t="str">
        <f t="shared" si="15"/>
        <v>Electronics Sales Tooling 201802</v>
      </c>
      <c r="E220" s="33" t="str">
        <f t="shared" si="16"/>
        <v>Electronics Sales Tooling</v>
      </c>
      <c r="F220" s="36" t="str">
        <f t="shared" si="17"/>
        <v>02</v>
      </c>
      <c r="G220" s="36" t="str">
        <f t="shared" si="18"/>
        <v>2018</v>
      </c>
      <c r="H220" s="30">
        <f t="shared" si="19"/>
        <v>0</v>
      </c>
    </row>
    <row r="221" spans="2:8" x14ac:dyDescent="0.35">
      <c r="B221" s="28" t="s">
        <v>249</v>
      </c>
      <c r="C221" s="26">
        <v>29565</v>
      </c>
      <c r="D221" s="35" t="str">
        <f t="shared" si="15"/>
        <v>Mechanic Sales 201802</v>
      </c>
      <c r="E221" s="33" t="str">
        <f t="shared" si="16"/>
        <v>Mechanic Sales</v>
      </c>
      <c r="F221" s="36" t="str">
        <f t="shared" si="17"/>
        <v>02</v>
      </c>
      <c r="G221" s="36" t="str">
        <f t="shared" si="18"/>
        <v>2018</v>
      </c>
      <c r="H221" s="30">
        <f t="shared" si="19"/>
        <v>29565</v>
      </c>
    </row>
    <row r="222" spans="2:8" x14ac:dyDescent="0.35">
      <c r="B222" s="28" t="s">
        <v>250</v>
      </c>
      <c r="C222" s="26">
        <v>10575</v>
      </c>
      <c r="D222" s="35" t="str">
        <f t="shared" si="15"/>
        <v>Mechanic Sales Tooling 201802</v>
      </c>
      <c r="E222" s="33" t="str">
        <f t="shared" si="16"/>
        <v>Mechanic Sales Tooling</v>
      </c>
      <c r="F222" s="36" t="str">
        <f t="shared" si="17"/>
        <v>02</v>
      </c>
      <c r="G222" s="36" t="str">
        <f t="shared" si="18"/>
        <v>2018</v>
      </c>
      <c r="H222" s="30">
        <f t="shared" si="19"/>
        <v>10575</v>
      </c>
    </row>
    <row r="223" spans="2:8" x14ac:dyDescent="0.35">
      <c r="B223" s="28" t="s">
        <v>251</v>
      </c>
      <c r="C223" s="26">
        <v>17200</v>
      </c>
      <c r="D223" s="35" t="str">
        <f t="shared" si="15"/>
        <v>Non Operating sales201802</v>
      </c>
      <c r="E223" s="33" t="str">
        <f t="shared" si="16"/>
        <v>Non Operating sale</v>
      </c>
      <c r="F223" s="36" t="str">
        <f t="shared" si="17"/>
        <v>02</v>
      </c>
      <c r="G223" s="36" t="str">
        <f t="shared" si="18"/>
        <v>2018</v>
      </c>
      <c r="H223" s="30">
        <f t="shared" si="19"/>
        <v>17200</v>
      </c>
    </row>
    <row r="224" spans="2:8" x14ac:dyDescent="0.35">
      <c r="B224" s="28" t="s">
        <v>252</v>
      </c>
      <c r="C224" s="26">
        <v>94850.318800000008</v>
      </c>
      <c r="D224" s="35" t="str">
        <f t="shared" si="15"/>
        <v>Partner Sales 201802</v>
      </c>
      <c r="E224" s="33" t="str">
        <f t="shared" si="16"/>
        <v>Partner Sales</v>
      </c>
      <c r="F224" s="36" t="str">
        <f t="shared" si="17"/>
        <v>02</v>
      </c>
      <c r="G224" s="36" t="str">
        <f t="shared" si="18"/>
        <v>2018</v>
      </c>
      <c r="H224" s="30">
        <f t="shared" si="19"/>
        <v>94850.318800000008</v>
      </c>
    </row>
    <row r="225" spans="2:8" x14ac:dyDescent="0.35">
      <c r="B225" s="28" t="s">
        <v>253</v>
      </c>
      <c r="C225" s="26">
        <v>0</v>
      </c>
      <c r="D225" s="35" t="str">
        <f t="shared" si="15"/>
        <v>Partner Sales Tooling 201802</v>
      </c>
      <c r="E225" s="33" t="str">
        <f t="shared" si="16"/>
        <v>Partner Sales Tooling</v>
      </c>
      <c r="F225" s="36" t="str">
        <f t="shared" si="17"/>
        <v>02</v>
      </c>
      <c r="G225" s="36" t="str">
        <f t="shared" si="18"/>
        <v>2018</v>
      </c>
      <c r="H225" s="30">
        <f t="shared" si="19"/>
        <v>0</v>
      </c>
    </row>
    <row r="226" spans="2:8" x14ac:dyDescent="0.35">
      <c r="B226" s="28" t="s">
        <v>254</v>
      </c>
      <c r="C226" s="26">
        <v>-2356.3399999999997</v>
      </c>
      <c r="D226" s="35" t="str">
        <f t="shared" si="15"/>
        <v>Sales - Discounts 201802</v>
      </c>
      <c r="E226" s="33" t="str">
        <f t="shared" si="16"/>
        <v>Sales - Discounts</v>
      </c>
      <c r="F226" s="36" t="str">
        <f t="shared" si="17"/>
        <v>02</v>
      </c>
      <c r="G226" s="36" t="str">
        <f t="shared" si="18"/>
        <v>2018</v>
      </c>
      <c r="H226" s="30">
        <f t="shared" si="19"/>
        <v>-2356.3399999999997</v>
      </c>
    </row>
    <row r="227" spans="2:8" x14ac:dyDescent="0.35">
      <c r="B227" s="28" t="s">
        <v>255</v>
      </c>
      <c r="C227" s="26">
        <v>91.781700000000015</v>
      </c>
      <c r="D227" s="35" t="str">
        <f t="shared" si="15"/>
        <v>Sales - Freight Out 201802</v>
      </c>
      <c r="E227" s="33" t="str">
        <f t="shared" si="16"/>
        <v>Sales - Freight Out</v>
      </c>
      <c r="F227" s="36" t="str">
        <f t="shared" si="17"/>
        <v>02</v>
      </c>
      <c r="G227" s="36" t="str">
        <f t="shared" si="18"/>
        <v>2018</v>
      </c>
      <c r="H227" s="30">
        <f t="shared" si="19"/>
        <v>91.781700000000015</v>
      </c>
    </row>
    <row r="228" spans="2:8" x14ac:dyDescent="0.35">
      <c r="B228" s="28" t="s">
        <v>256</v>
      </c>
      <c r="C228" s="26">
        <v>-133.87500000000728</v>
      </c>
      <c r="D228" s="35" t="str">
        <f t="shared" si="15"/>
        <v>Sales - Returns 201802</v>
      </c>
      <c r="E228" s="33" t="str">
        <f t="shared" si="16"/>
        <v>Sales - Returns</v>
      </c>
      <c r="F228" s="36" t="str">
        <f t="shared" si="17"/>
        <v>02</v>
      </c>
      <c r="G228" s="36" t="str">
        <f t="shared" si="18"/>
        <v>2018</v>
      </c>
      <c r="H228" s="30">
        <f t="shared" si="19"/>
        <v>-133.87500000000728</v>
      </c>
    </row>
    <row r="229" spans="2:8" x14ac:dyDescent="0.35">
      <c r="B229" s="28" t="s">
        <v>257</v>
      </c>
      <c r="C229" s="26">
        <v>93939.989000000001</v>
      </c>
      <c r="D229" s="35" t="str">
        <f t="shared" si="15"/>
        <v>Automotive Sales 201803</v>
      </c>
      <c r="E229" s="33" t="str">
        <f t="shared" si="16"/>
        <v>Automotive Sales</v>
      </c>
      <c r="F229" s="36" t="str">
        <f t="shared" si="17"/>
        <v>03</v>
      </c>
      <c r="G229" s="36" t="str">
        <f t="shared" si="18"/>
        <v>2018</v>
      </c>
      <c r="H229" s="30">
        <f t="shared" si="19"/>
        <v>93939.989000000001</v>
      </c>
    </row>
    <row r="230" spans="2:8" x14ac:dyDescent="0.35">
      <c r="B230" s="28" t="s">
        <v>258</v>
      </c>
      <c r="C230" s="26">
        <v>0</v>
      </c>
      <c r="D230" s="35" t="str">
        <f t="shared" si="15"/>
        <v>Automotive Sales Tooling 201803</v>
      </c>
      <c r="E230" s="33" t="str">
        <f t="shared" si="16"/>
        <v>Automotive Sales Tooling</v>
      </c>
      <c r="F230" s="36" t="str">
        <f t="shared" si="17"/>
        <v>03</v>
      </c>
      <c r="G230" s="36" t="str">
        <f t="shared" si="18"/>
        <v>2018</v>
      </c>
      <c r="H230" s="30">
        <f t="shared" si="19"/>
        <v>0</v>
      </c>
    </row>
    <row r="231" spans="2:8" x14ac:dyDescent="0.35">
      <c r="B231" s="28" t="s">
        <v>259</v>
      </c>
      <c r="C231" s="26">
        <v>945930.47280000011</v>
      </c>
      <c r="D231" s="35" t="str">
        <f t="shared" si="15"/>
        <v>Bulk Sales 201803</v>
      </c>
      <c r="E231" s="33" t="str">
        <f t="shared" si="16"/>
        <v>Bulk Sales</v>
      </c>
      <c r="F231" s="36" t="str">
        <f t="shared" si="17"/>
        <v>03</v>
      </c>
      <c r="G231" s="36" t="str">
        <f t="shared" si="18"/>
        <v>2018</v>
      </c>
      <c r="H231" s="30">
        <f t="shared" si="19"/>
        <v>945930.47280000011</v>
      </c>
    </row>
    <row r="232" spans="2:8" x14ac:dyDescent="0.35">
      <c r="B232" s="28" t="s">
        <v>260</v>
      </c>
      <c r="C232" s="26">
        <v>76099.679999999993</v>
      </c>
      <c r="D232" s="35" t="str">
        <f t="shared" si="15"/>
        <v>Bulk Sales Tooling 201803</v>
      </c>
      <c r="E232" s="33" t="str">
        <f t="shared" si="16"/>
        <v>Bulk Sales Tooling</v>
      </c>
      <c r="F232" s="36" t="str">
        <f t="shared" si="17"/>
        <v>03</v>
      </c>
      <c r="G232" s="36" t="str">
        <f t="shared" si="18"/>
        <v>2018</v>
      </c>
      <c r="H232" s="30">
        <f t="shared" si="19"/>
        <v>76099.679999999993</v>
      </c>
    </row>
    <row r="233" spans="2:8" x14ac:dyDescent="0.35">
      <c r="B233" s="28" t="s">
        <v>261</v>
      </c>
      <c r="C233" s="26">
        <v>429041.48479999998</v>
      </c>
      <c r="D233" s="35" t="str">
        <f t="shared" si="15"/>
        <v>Consumer Sales 201803</v>
      </c>
      <c r="E233" s="33" t="str">
        <f t="shared" si="16"/>
        <v>Consumer Sales</v>
      </c>
      <c r="F233" s="36" t="str">
        <f t="shared" si="17"/>
        <v>03</v>
      </c>
      <c r="G233" s="36" t="str">
        <f t="shared" si="18"/>
        <v>2018</v>
      </c>
      <c r="H233" s="30">
        <f t="shared" si="19"/>
        <v>429041.48479999998</v>
      </c>
    </row>
    <row r="234" spans="2:8" x14ac:dyDescent="0.35">
      <c r="B234" s="28" t="s">
        <v>262</v>
      </c>
      <c r="C234" s="26">
        <v>38304</v>
      </c>
      <c r="D234" s="35" t="str">
        <f t="shared" si="15"/>
        <v>Consumer Sales Tooling 201803</v>
      </c>
      <c r="E234" s="33" t="str">
        <f t="shared" si="16"/>
        <v>Consumer Sales Tooling</v>
      </c>
      <c r="F234" s="36" t="str">
        <f t="shared" si="17"/>
        <v>03</v>
      </c>
      <c r="G234" s="36" t="str">
        <f t="shared" si="18"/>
        <v>2018</v>
      </c>
      <c r="H234" s="30">
        <f t="shared" si="19"/>
        <v>38304</v>
      </c>
    </row>
    <row r="235" spans="2:8" x14ac:dyDescent="0.35">
      <c r="B235" s="28" t="s">
        <v>263</v>
      </c>
      <c r="C235" s="26">
        <v>5919.2064</v>
      </c>
      <c r="D235" s="35" t="str">
        <f t="shared" si="15"/>
        <v>Electronics Sales 201803</v>
      </c>
      <c r="E235" s="33" t="str">
        <f t="shared" si="16"/>
        <v>Electronics Sales</v>
      </c>
      <c r="F235" s="36" t="str">
        <f t="shared" si="17"/>
        <v>03</v>
      </c>
      <c r="G235" s="36" t="str">
        <f t="shared" si="18"/>
        <v>2018</v>
      </c>
      <c r="H235" s="30">
        <f t="shared" si="19"/>
        <v>5919.2064</v>
      </c>
    </row>
    <row r="236" spans="2:8" x14ac:dyDescent="0.35">
      <c r="B236" s="28" t="s">
        <v>264</v>
      </c>
      <c r="C236" s="26">
        <v>0</v>
      </c>
      <c r="D236" s="35" t="str">
        <f t="shared" si="15"/>
        <v>Electronics Sales Tooling 201803</v>
      </c>
      <c r="E236" s="33" t="str">
        <f t="shared" si="16"/>
        <v>Electronics Sales Tooling</v>
      </c>
      <c r="F236" s="36" t="str">
        <f t="shared" si="17"/>
        <v>03</v>
      </c>
      <c r="G236" s="36" t="str">
        <f t="shared" si="18"/>
        <v>2018</v>
      </c>
      <c r="H236" s="30">
        <f t="shared" si="19"/>
        <v>0</v>
      </c>
    </row>
    <row r="237" spans="2:8" x14ac:dyDescent="0.35">
      <c r="B237" s="28" t="s">
        <v>265</v>
      </c>
      <c r="C237" s="26">
        <v>72207.584999999992</v>
      </c>
      <c r="D237" s="35" t="str">
        <f t="shared" si="15"/>
        <v>Mechanic Sales 201803</v>
      </c>
      <c r="E237" s="33" t="str">
        <f t="shared" si="16"/>
        <v>Mechanic Sales</v>
      </c>
      <c r="F237" s="36" t="str">
        <f t="shared" si="17"/>
        <v>03</v>
      </c>
      <c r="G237" s="36" t="str">
        <f t="shared" si="18"/>
        <v>2018</v>
      </c>
      <c r="H237" s="30">
        <f t="shared" si="19"/>
        <v>72207.584999999992</v>
      </c>
    </row>
    <row r="238" spans="2:8" x14ac:dyDescent="0.35">
      <c r="B238" s="28" t="s">
        <v>266</v>
      </c>
      <c r="C238" s="26">
        <v>27266.579999999998</v>
      </c>
      <c r="D238" s="35" t="str">
        <f t="shared" si="15"/>
        <v>Mechanic Sales Tooling 201803</v>
      </c>
      <c r="E238" s="33" t="str">
        <f t="shared" si="16"/>
        <v>Mechanic Sales Tooling</v>
      </c>
      <c r="F238" s="36" t="str">
        <f t="shared" si="17"/>
        <v>03</v>
      </c>
      <c r="G238" s="36" t="str">
        <f t="shared" si="18"/>
        <v>2018</v>
      </c>
      <c r="H238" s="30">
        <f t="shared" si="19"/>
        <v>27266.579999999998</v>
      </c>
    </row>
    <row r="239" spans="2:8" x14ac:dyDescent="0.35">
      <c r="B239" s="28" t="s">
        <v>267</v>
      </c>
      <c r="C239" s="26">
        <v>6519.66</v>
      </c>
      <c r="D239" s="35" t="str">
        <f t="shared" si="15"/>
        <v>Non Operating sales201803</v>
      </c>
      <c r="E239" s="33" t="str">
        <f t="shared" si="16"/>
        <v>Non Operating sale</v>
      </c>
      <c r="F239" s="36" t="str">
        <f t="shared" si="17"/>
        <v>03</v>
      </c>
      <c r="G239" s="36" t="str">
        <f t="shared" si="18"/>
        <v>2018</v>
      </c>
      <c r="H239" s="30">
        <f t="shared" si="19"/>
        <v>6519.66</v>
      </c>
    </row>
    <row r="240" spans="2:8" x14ac:dyDescent="0.35">
      <c r="B240" s="28" t="s">
        <v>268</v>
      </c>
      <c r="C240" s="26">
        <v>326575.60760000005</v>
      </c>
      <c r="D240" s="35" t="str">
        <f t="shared" si="15"/>
        <v>Partner Sales 201803</v>
      </c>
      <c r="E240" s="33" t="str">
        <f t="shared" si="16"/>
        <v>Partner Sales</v>
      </c>
      <c r="F240" s="36" t="str">
        <f t="shared" si="17"/>
        <v>03</v>
      </c>
      <c r="G240" s="36" t="str">
        <f t="shared" si="18"/>
        <v>2018</v>
      </c>
      <c r="H240" s="30">
        <f t="shared" si="19"/>
        <v>326575.60760000005</v>
      </c>
    </row>
    <row r="241" spans="2:8" x14ac:dyDescent="0.35">
      <c r="B241" s="28" t="s">
        <v>269</v>
      </c>
      <c r="C241" s="26">
        <v>3617.7</v>
      </c>
      <c r="D241" s="35" t="str">
        <f t="shared" si="15"/>
        <v>Partner Sales Tooling 201803</v>
      </c>
      <c r="E241" s="33" t="str">
        <f t="shared" si="16"/>
        <v>Partner Sales Tooling</v>
      </c>
      <c r="F241" s="36" t="str">
        <f t="shared" si="17"/>
        <v>03</v>
      </c>
      <c r="G241" s="36" t="str">
        <f t="shared" si="18"/>
        <v>2018</v>
      </c>
      <c r="H241" s="30">
        <f t="shared" si="19"/>
        <v>3617.7</v>
      </c>
    </row>
    <row r="242" spans="2:8" x14ac:dyDescent="0.35">
      <c r="B242" s="28" t="s">
        <v>270</v>
      </c>
      <c r="C242" s="26">
        <v>-1746.164</v>
      </c>
      <c r="D242" s="35" t="str">
        <f t="shared" si="15"/>
        <v>Sales - Discounts 201803</v>
      </c>
      <c r="E242" s="33" t="str">
        <f t="shared" si="16"/>
        <v>Sales - Discounts</v>
      </c>
      <c r="F242" s="36" t="str">
        <f t="shared" si="17"/>
        <v>03</v>
      </c>
      <c r="G242" s="36" t="str">
        <f t="shared" si="18"/>
        <v>2018</v>
      </c>
      <c r="H242" s="30">
        <f t="shared" si="19"/>
        <v>-1746.164</v>
      </c>
    </row>
    <row r="243" spans="2:8" x14ac:dyDescent="0.35">
      <c r="B243" s="28" t="s">
        <v>271</v>
      </c>
      <c r="C243" s="26">
        <v>244.62610000000004</v>
      </c>
      <c r="D243" s="35" t="str">
        <f t="shared" si="15"/>
        <v>Sales - Freight Out 201803</v>
      </c>
      <c r="E243" s="33" t="str">
        <f t="shared" si="16"/>
        <v>Sales - Freight Out</v>
      </c>
      <c r="F243" s="36" t="str">
        <f t="shared" si="17"/>
        <v>03</v>
      </c>
      <c r="G243" s="36" t="str">
        <f t="shared" si="18"/>
        <v>2018</v>
      </c>
      <c r="H243" s="30">
        <f t="shared" si="19"/>
        <v>244.62610000000004</v>
      </c>
    </row>
    <row r="244" spans="2:8" x14ac:dyDescent="0.35">
      <c r="B244" s="28" t="s">
        <v>272</v>
      </c>
      <c r="C244" s="26">
        <v>-44440.574999999997</v>
      </c>
      <c r="D244" s="35" t="str">
        <f t="shared" si="15"/>
        <v>Sales - Returns 201803</v>
      </c>
      <c r="E244" s="33" t="str">
        <f t="shared" si="16"/>
        <v>Sales - Returns</v>
      </c>
      <c r="F244" s="36" t="str">
        <f t="shared" si="17"/>
        <v>03</v>
      </c>
      <c r="G244" s="36" t="str">
        <f t="shared" si="18"/>
        <v>2018</v>
      </c>
      <c r="H244" s="30">
        <f t="shared" si="19"/>
        <v>-44440.574999999997</v>
      </c>
    </row>
    <row r="245" spans="2:8" x14ac:dyDescent="0.35">
      <c r="B245" s="28" t="s">
        <v>273</v>
      </c>
      <c r="C245" s="26">
        <v>145968.89449999999</v>
      </c>
      <c r="D245" s="35" t="str">
        <f t="shared" si="15"/>
        <v>Automotive Sales 201804</v>
      </c>
      <c r="E245" s="33" t="str">
        <f t="shared" si="16"/>
        <v>Automotive Sales</v>
      </c>
      <c r="F245" s="36" t="str">
        <f t="shared" si="17"/>
        <v>04</v>
      </c>
      <c r="G245" s="36" t="str">
        <f t="shared" si="18"/>
        <v>2018</v>
      </c>
      <c r="H245" s="30">
        <f t="shared" si="19"/>
        <v>145968.89449999999</v>
      </c>
    </row>
    <row r="246" spans="2:8" x14ac:dyDescent="0.35">
      <c r="B246" s="28" t="s">
        <v>274</v>
      </c>
      <c r="C246" s="26">
        <v>27560</v>
      </c>
      <c r="D246" s="35" t="str">
        <f t="shared" si="15"/>
        <v>Automotive Sales Tooling 201804</v>
      </c>
      <c r="E246" s="33" t="str">
        <f t="shared" si="16"/>
        <v>Automotive Sales Tooling</v>
      </c>
      <c r="F246" s="36" t="str">
        <f t="shared" si="17"/>
        <v>04</v>
      </c>
      <c r="G246" s="36" t="str">
        <f t="shared" si="18"/>
        <v>2018</v>
      </c>
      <c r="H246" s="30">
        <f t="shared" si="19"/>
        <v>27560</v>
      </c>
    </row>
    <row r="247" spans="2:8" x14ac:dyDescent="0.35">
      <c r="B247" s="28" t="s">
        <v>275</v>
      </c>
      <c r="C247" s="26">
        <v>679604.15150000004</v>
      </c>
      <c r="D247" s="35" t="str">
        <f t="shared" si="15"/>
        <v>Bulk Sales 201804</v>
      </c>
      <c r="E247" s="33" t="str">
        <f t="shared" si="16"/>
        <v>Bulk Sales</v>
      </c>
      <c r="F247" s="36" t="str">
        <f t="shared" si="17"/>
        <v>04</v>
      </c>
      <c r="G247" s="36" t="str">
        <f t="shared" si="18"/>
        <v>2018</v>
      </c>
      <c r="H247" s="30">
        <f t="shared" si="19"/>
        <v>679604.15150000004</v>
      </c>
    </row>
    <row r="248" spans="2:8" x14ac:dyDescent="0.35">
      <c r="B248" s="28" t="s">
        <v>276</v>
      </c>
      <c r="C248" s="26">
        <v>0</v>
      </c>
      <c r="D248" s="35" t="str">
        <f t="shared" si="15"/>
        <v>Bulk Sales Tooling 201804</v>
      </c>
      <c r="E248" s="33" t="str">
        <f t="shared" si="16"/>
        <v>Bulk Sales Tooling</v>
      </c>
      <c r="F248" s="36" t="str">
        <f t="shared" si="17"/>
        <v>04</v>
      </c>
      <c r="G248" s="36" t="str">
        <f t="shared" si="18"/>
        <v>2018</v>
      </c>
      <c r="H248" s="30">
        <f t="shared" si="19"/>
        <v>0</v>
      </c>
    </row>
    <row r="249" spans="2:8" x14ac:dyDescent="0.35">
      <c r="B249" s="28" t="s">
        <v>277</v>
      </c>
      <c r="C249" s="26">
        <v>549424.68639999989</v>
      </c>
      <c r="D249" s="35" t="str">
        <f t="shared" si="15"/>
        <v>Consumer Sales 201804</v>
      </c>
      <c r="E249" s="33" t="str">
        <f t="shared" si="16"/>
        <v>Consumer Sales</v>
      </c>
      <c r="F249" s="36" t="str">
        <f t="shared" si="17"/>
        <v>04</v>
      </c>
      <c r="G249" s="36" t="str">
        <f t="shared" si="18"/>
        <v>2018</v>
      </c>
      <c r="H249" s="30">
        <f t="shared" si="19"/>
        <v>549424.68639999989</v>
      </c>
    </row>
    <row r="250" spans="2:8" x14ac:dyDescent="0.35">
      <c r="B250" s="28" t="s">
        <v>278</v>
      </c>
      <c r="C250" s="26">
        <v>11448</v>
      </c>
      <c r="D250" s="35" t="str">
        <f t="shared" si="15"/>
        <v>Consumer Sales Tooling 201804</v>
      </c>
      <c r="E250" s="33" t="str">
        <f t="shared" si="16"/>
        <v>Consumer Sales Tooling</v>
      </c>
      <c r="F250" s="36" t="str">
        <f t="shared" si="17"/>
        <v>04</v>
      </c>
      <c r="G250" s="36" t="str">
        <f t="shared" si="18"/>
        <v>2018</v>
      </c>
      <c r="H250" s="30">
        <f t="shared" si="19"/>
        <v>11448</v>
      </c>
    </row>
    <row r="251" spans="2:8" x14ac:dyDescent="0.35">
      <c r="B251" s="28" t="s">
        <v>279</v>
      </c>
      <c r="C251" s="26">
        <v>0</v>
      </c>
      <c r="D251" s="35" t="str">
        <f t="shared" si="15"/>
        <v>Electronics Sales 201804</v>
      </c>
      <c r="E251" s="33" t="str">
        <f t="shared" si="16"/>
        <v>Electronics Sales</v>
      </c>
      <c r="F251" s="36" t="str">
        <f t="shared" si="17"/>
        <v>04</v>
      </c>
      <c r="G251" s="36" t="str">
        <f t="shared" si="18"/>
        <v>2018</v>
      </c>
      <c r="H251" s="30">
        <f t="shared" si="19"/>
        <v>0</v>
      </c>
    </row>
    <row r="252" spans="2:8" x14ac:dyDescent="0.35">
      <c r="B252" s="28" t="s">
        <v>280</v>
      </c>
      <c r="C252" s="26">
        <v>0</v>
      </c>
      <c r="D252" s="35" t="str">
        <f t="shared" si="15"/>
        <v>Electronics Sales Tooling 201804</v>
      </c>
      <c r="E252" s="33" t="str">
        <f t="shared" si="16"/>
        <v>Electronics Sales Tooling</v>
      </c>
      <c r="F252" s="36" t="str">
        <f t="shared" si="17"/>
        <v>04</v>
      </c>
      <c r="G252" s="36" t="str">
        <f t="shared" si="18"/>
        <v>2018</v>
      </c>
      <c r="H252" s="30">
        <f t="shared" si="19"/>
        <v>0</v>
      </c>
    </row>
    <row r="253" spans="2:8" x14ac:dyDescent="0.35">
      <c r="B253" s="28" t="s">
        <v>281</v>
      </c>
      <c r="C253" s="26">
        <v>41824.620000000003</v>
      </c>
      <c r="D253" s="35" t="str">
        <f t="shared" si="15"/>
        <v>Mechanic Sales 201804</v>
      </c>
      <c r="E253" s="33" t="str">
        <f t="shared" si="16"/>
        <v>Mechanic Sales</v>
      </c>
      <c r="F253" s="36" t="str">
        <f t="shared" si="17"/>
        <v>04</v>
      </c>
      <c r="G253" s="36" t="str">
        <f t="shared" si="18"/>
        <v>2018</v>
      </c>
      <c r="H253" s="30">
        <f t="shared" si="19"/>
        <v>41824.620000000003</v>
      </c>
    </row>
    <row r="254" spans="2:8" x14ac:dyDescent="0.35">
      <c r="B254" s="28" t="s">
        <v>282</v>
      </c>
      <c r="C254" s="26">
        <v>0</v>
      </c>
      <c r="D254" s="35" t="str">
        <f t="shared" si="15"/>
        <v>Mechanic Sales Tooling 201804</v>
      </c>
      <c r="E254" s="33" t="str">
        <f t="shared" si="16"/>
        <v>Mechanic Sales Tooling</v>
      </c>
      <c r="F254" s="36" t="str">
        <f t="shared" si="17"/>
        <v>04</v>
      </c>
      <c r="G254" s="36" t="str">
        <f t="shared" si="18"/>
        <v>2018</v>
      </c>
      <c r="H254" s="30">
        <f t="shared" si="19"/>
        <v>0</v>
      </c>
    </row>
    <row r="255" spans="2:8" x14ac:dyDescent="0.35">
      <c r="B255" s="28" t="s">
        <v>283</v>
      </c>
      <c r="C255" s="26">
        <v>0</v>
      </c>
      <c r="D255" s="35" t="str">
        <f t="shared" si="15"/>
        <v>Non Operating sales201804</v>
      </c>
      <c r="E255" s="33" t="str">
        <f t="shared" si="16"/>
        <v>Non Operating sale</v>
      </c>
      <c r="F255" s="36" t="str">
        <f t="shared" si="17"/>
        <v>04</v>
      </c>
      <c r="G255" s="36" t="str">
        <f t="shared" si="18"/>
        <v>2018</v>
      </c>
      <c r="H255" s="30">
        <f t="shared" si="19"/>
        <v>0</v>
      </c>
    </row>
    <row r="256" spans="2:8" x14ac:dyDescent="0.35">
      <c r="B256" s="28" t="s">
        <v>284</v>
      </c>
      <c r="C256" s="26">
        <v>246918.6912</v>
      </c>
      <c r="D256" s="35" t="str">
        <f t="shared" si="15"/>
        <v>Partner Sales 201804</v>
      </c>
      <c r="E256" s="33" t="str">
        <f t="shared" si="16"/>
        <v>Partner Sales</v>
      </c>
      <c r="F256" s="36" t="str">
        <f t="shared" si="17"/>
        <v>04</v>
      </c>
      <c r="G256" s="36" t="str">
        <f t="shared" si="18"/>
        <v>2018</v>
      </c>
      <c r="H256" s="30">
        <f t="shared" si="19"/>
        <v>246918.6912</v>
      </c>
    </row>
    <row r="257" spans="2:8" x14ac:dyDescent="0.35">
      <c r="B257" s="28" t="s">
        <v>285</v>
      </c>
      <c r="C257" s="26">
        <v>0</v>
      </c>
      <c r="D257" s="35" t="str">
        <f t="shared" si="15"/>
        <v>Partner Sales Tooling 201804</v>
      </c>
      <c r="E257" s="33" t="str">
        <f t="shared" si="16"/>
        <v>Partner Sales Tooling</v>
      </c>
      <c r="F257" s="36" t="str">
        <f t="shared" si="17"/>
        <v>04</v>
      </c>
      <c r="G257" s="36" t="str">
        <f t="shared" si="18"/>
        <v>2018</v>
      </c>
      <c r="H257" s="30">
        <f t="shared" si="19"/>
        <v>0</v>
      </c>
    </row>
    <row r="258" spans="2:8" x14ac:dyDescent="0.35">
      <c r="B258" s="28" t="s">
        <v>286</v>
      </c>
      <c r="C258" s="26">
        <v>-3668.6019999999994</v>
      </c>
      <c r="D258" s="35" t="str">
        <f t="shared" si="15"/>
        <v>Sales - Discounts 201804</v>
      </c>
      <c r="E258" s="33" t="str">
        <f t="shared" si="16"/>
        <v>Sales - Discounts</v>
      </c>
      <c r="F258" s="36" t="str">
        <f t="shared" si="17"/>
        <v>04</v>
      </c>
      <c r="G258" s="36" t="str">
        <f t="shared" si="18"/>
        <v>2018</v>
      </c>
      <c r="H258" s="30">
        <f t="shared" si="19"/>
        <v>-3668.6019999999994</v>
      </c>
    </row>
    <row r="259" spans="2:8" x14ac:dyDescent="0.35">
      <c r="B259" s="28" t="s">
        <v>287</v>
      </c>
      <c r="C259" s="26">
        <v>79.299500000000009</v>
      </c>
      <c r="D259" s="35" t="str">
        <f t="shared" si="15"/>
        <v>Sales - Freight Out 201804</v>
      </c>
      <c r="E259" s="33" t="str">
        <f t="shared" si="16"/>
        <v>Sales - Freight Out</v>
      </c>
      <c r="F259" s="36" t="str">
        <f t="shared" si="17"/>
        <v>04</v>
      </c>
      <c r="G259" s="36" t="str">
        <f t="shared" si="18"/>
        <v>2018</v>
      </c>
      <c r="H259" s="30">
        <f t="shared" si="19"/>
        <v>79.299500000000009</v>
      </c>
    </row>
    <row r="260" spans="2:8" x14ac:dyDescent="0.35">
      <c r="B260" s="28" t="s">
        <v>288</v>
      </c>
      <c r="C260" s="26">
        <v>-32168.25</v>
      </c>
      <c r="D260" s="35" t="str">
        <f t="shared" si="15"/>
        <v>Sales - Returns 201804</v>
      </c>
      <c r="E260" s="33" t="str">
        <f t="shared" si="16"/>
        <v>Sales - Returns</v>
      </c>
      <c r="F260" s="36" t="str">
        <f t="shared" si="17"/>
        <v>04</v>
      </c>
      <c r="G260" s="36" t="str">
        <f t="shared" si="18"/>
        <v>2018</v>
      </c>
      <c r="H260" s="30">
        <f t="shared" si="19"/>
        <v>-32168.25</v>
      </c>
    </row>
    <row r="261" spans="2:8" x14ac:dyDescent="0.35">
      <c r="B261" s="28" t="s">
        <v>289</v>
      </c>
      <c r="C261" s="26">
        <v>280861.08049999998</v>
      </c>
      <c r="D261" s="35" t="str">
        <f t="shared" si="15"/>
        <v>Automotive Sales 201805</v>
      </c>
      <c r="E261" s="33" t="str">
        <f t="shared" si="16"/>
        <v>Automotive Sales</v>
      </c>
      <c r="F261" s="36" t="str">
        <f t="shared" si="17"/>
        <v>05</v>
      </c>
      <c r="G261" s="36" t="str">
        <f t="shared" si="18"/>
        <v>2018</v>
      </c>
      <c r="H261" s="30">
        <f t="shared" si="19"/>
        <v>280861.08049999998</v>
      </c>
    </row>
    <row r="262" spans="2:8" x14ac:dyDescent="0.35">
      <c r="B262" s="28" t="s">
        <v>290</v>
      </c>
      <c r="C262" s="26">
        <v>26320.542000000001</v>
      </c>
      <c r="D262" s="35" t="str">
        <f t="shared" ref="D262:D325" si="20">TRIM(B262)</f>
        <v>Automotive Sales Tooling 201805</v>
      </c>
      <c r="E262" s="33" t="str">
        <f t="shared" ref="E262:E325" si="21">LEFT(D262,LEN(D262)-7)</f>
        <v>Automotive Sales Tooling</v>
      </c>
      <c r="F262" s="36" t="str">
        <f t="shared" ref="F262:F325" si="22">RIGHT(D262,2)</f>
        <v>05</v>
      </c>
      <c r="G262" s="36" t="str">
        <f t="shared" ref="G262:G325" si="23">RIGHT(LEFT(D262,LEN(D262)-2),4)</f>
        <v>2018</v>
      </c>
      <c r="H262" s="30">
        <f t="shared" ref="H262:H325" si="24">C262</f>
        <v>26320.542000000001</v>
      </c>
    </row>
    <row r="263" spans="2:8" x14ac:dyDescent="0.35">
      <c r="B263" s="28" t="s">
        <v>291</v>
      </c>
      <c r="C263" s="26">
        <v>694552.68410000007</v>
      </c>
      <c r="D263" s="35" t="str">
        <f t="shared" si="20"/>
        <v>Bulk Sales 201805</v>
      </c>
      <c r="E263" s="33" t="str">
        <f t="shared" si="21"/>
        <v>Bulk Sales</v>
      </c>
      <c r="F263" s="36" t="str">
        <f t="shared" si="22"/>
        <v>05</v>
      </c>
      <c r="G263" s="36" t="str">
        <f t="shared" si="23"/>
        <v>2018</v>
      </c>
      <c r="H263" s="30">
        <f t="shared" si="24"/>
        <v>694552.68410000007</v>
      </c>
    </row>
    <row r="264" spans="2:8" x14ac:dyDescent="0.35">
      <c r="B264" s="28" t="s">
        <v>292</v>
      </c>
      <c r="C264" s="26">
        <v>0</v>
      </c>
      <c r="D264" s="35" t="str">
        <f t="shared" si="20"/>
        <v>Bulk Sales Tooling 201805</v>
      </c>
      <c r="E264" s="33" t="str">
        <f t="shared" si="21"/>
        <v>Bulk Sales Tooling</v>
      </c>
      <c r="F264" s="36" t="str">
        <f t="shared" si="22"/>
        <v>05</v>
      </c>
      <c r="G264" s="36" t="str">
        <f t="shared" si="23"/>
        <v>2018</v>
      </c>
      <c r="H264" s="30">
        <f t="shared" si="24"/>
        <v>0</v>
      </c>
    </row>
    <row r="265" spans="2:8" x14ac:dyDescent="0.35">
      <c r="B265" s="28" t="s">
        <v>293</v>
      </c>
      <c r="C265" s="26">
        <v>528938.58479999995</v>
      </c>
      <c r="D265" s="35" t="str">
        <f t="shared" si="20"/>
        <v>Consumer Sales 201805</v>
      </c>
      <c r="E265" s="33" t="str">
        <f t="shared" si="21"/>
        <v>Consumer Sales</v>
      </c>
      <c r="F265" s="36" t="str">
        <f t="shared" si="22"/>
        <v>05</v>
      </c>
      <c r="G265" s="36" t="str">
        <f t="shared" si="23"/>
        <v>2018</v>
      </c>
      <c r="H265" s="30">
        <f t="shared" si="24"/>
        <v>528938.58479999995</v>
      </c>
    </row>
    <row r="266" spans="2:8" x14ac:dyDescent="0.35">
      <c r="B266" s="28" t="s">
        <v>294</v>
      </c>
      <c r="C266" s="26">
        <v>16531.2</v>
      </c>
      <c r="D266" s="35" t="str">
        <f t="shared" si="20"/>
        <v>Consumer Sales Tooling 201805</v>
      </c>
      <c r="E266" s="33" t="str">
        <f t="shared" si="21"/>
        <v>Consumer Sales Tooling</v>
      </c>
      <c r="F266" s="36" t="str">
        <f t="shared" si="22"/>
        <v>05</v>
      </c>
      <c r="G266" s="36" t="str">
        <f t="shared" si="23"/>
        <v>2018</v>
      </c>
      <c r="H266" s="30">
        <f t="shared" si="24"/>
        <v>16531.2</v>
      </c>
    </row>
    <row r="267" spans="2:8" x14ac:dyDescent="0.35">
      <c r="B267" s="28" t="s">
        <v>295</v>
      </c>
      <c r="C267" s="26">
        <v>3830.3999999999996</v>
      </c>
      <c r="D267" s="35" t="str">
        <f t="shared" si="20"/>
        <v>Electronics Sales 201805</v>
      </c>
      <c r="E267" s="33" t="str">
        <f t="shared" si="21"/>
        <v>Electronics Sales</v>
      </c>
      <c r="F267" s="36" t="str">
        <f t="shared" si="22"/>
        <v>05</v>
      </c>
      <c r="G267" s="36" t="str">
        <f t="shared" si="23"/>
        <v>2018</v>
      </c>
      <c r="H267" s="30">
        <f t="shared" si="24"/>
        <v>3830.3999999999996</v>
      </c>
    </row>
    <row r="268" spans="2:8" x14ac:dyDescent="0.35">
      <c r="B268" s="28" t="s">
        <v>296</v>
      </c>
      <c r="C268" s="26">
        <v>0</v>
      </c>
      <c r="D268" s="35" t="str">
        <f t="shared" si="20"/>
        <v>Electronics Sales Tooling 201805</v>
      </c>
      <c r="E268" s="33" t="str">
        <f t="shared" si="21"/>
        <v>Electronics Sales Tooling</v>
      </c>
      <c r="F268" s="36" t="str">
        <f t="shared" si="22"/>
        <v>05</v>
      </c>
      <c r="G268" s="36" t="str">
        <f t="shared" si="23"/>
        <v>2018</v>
      </c>
      <c r="H268" s="30">
        <f t="shared" si="24"/>
        <v>0</v>
      </c>
    </row>
    <row r="269" spans="2:8" x14ac:dyDescent="0.35">
      <c r="B269" s="28" t="s">
        <v>297</v>
      </c>
      <c r="C269" s="26">
        <v>71507.88</v>
      </c>
      <c r="D269" s="35" t="str">
        <f t="shared" si="20"/>
        <v>Mechanic Sales 201805</v>
      </c>
      <c r="E269" s="33" t="str">
        <f t="shared" si="21"/>
        <v>Mechanic Sales</v>
      </c>
      <c r="F269" s="36" t="str">
        <f t="shared" si="22"/>
        <v>05</v>
      </c>
      <c r="G269" s="36" t="str">
        <f t="shared" si="23"/>
        <v>2018</v>
      </c>
      <c r="H269" s="30">
        <f t="shared" si="24"/>
        <v>71507.88</v>
      </c>
    </row>
    <row r="270" spans="2:8" x14ac:dyDescent="0.35">
      <c r="B270" s="28" t="s">
        <v>298</v>
      </c>
      <c r="C270" s="26">
        <v>5992.5</v>
      </c>
      <c r="D270" s="35" t="str">
        <f t="shared" si="20"/>
        <v>Mechanic Sales Tooling 201805</v>
      </c>
      <c r="E270" s="33" t="str">
        <f t="shared" si="21"/>
        <v>Mechanic Sales Tooling</v>
      </c>
      <c r="F270" s="36" t="str">
        <f t="shared" si="22"/>
        <v>05</v>
      </c>
      <c r="G270" s="36" t="str">
        <f t="shared" si="23"/>
        <v>2018</v>
      </c>
      <c r="H270" s="30">
        <f t="shared" si="24"/>
        <v>5992.5</v>
      </c>
    </row>
    <row r="271" spans="2:8" x14ac:dyDescent="0.35">
      <c r="B271" s="28" t="s">
        <v>299</v>
      </c>
      <c r="C271" s="26">
        <v>0</v>
      </c>
      <c r="D271" s="35" t="str">
        <f t="shared" si="20"/>
        <v>Non Operating sales201805</v>
      </c>
      <c r="E271" s="33" t="str">
        <f t="shared" si="21"/>
        <v>Non Operating sale</v>
      </c>
      <c r="F271" s="36" t="str">
        <f t="shared" si="22"/>
        <v>05</v>
      </c>
      <c r="G271" s="36" t="str">
        <f t="shared" si="23"/>
        <v>2018</v>
      </c>
      <c r="H271" s="30">
        <f t="shared" si="24"/>
        <v>0</v>
      </c>
    </row>
    <row r="272" spans="2:8" x14ac:dyDescent="0.35">
      <c r="B272" s="28" t="s">
        <v>300</v>
      </c>
      <c r="C272" s="26">
        <v>174288.89560000002</v>
      </c>
      <c r="D272" s="35" t="str">
        <f t="shared" si="20"/>
        <v>Partner Sales 201805</v>
      </c>
      <c r="E272" s="33" t="str">
        <f t="shared" si="21"/>
        <v>Partner Sales</v>
      </c>
      <c r="F272" s="36" t="str">
        <f t="shared" si="22"/>
        <v>05</v>
      </c>
      <c r="G272" s="36" t="str">
        <f t="shared" si="23"/>
        <v>2018</v>
      </c>
      <c r="H272" s="30">
        <f t="shared" si="24"/>
        <v>174288.89560000002</v>
      </c>
    </row>
    <row r="273" spans="2:8" x14ac:dyDescent="0.35">
      <c r="B273" s="28" t="s">
        <v>301</v>
      </c>
      <c r="C273" s="26">
        <v>59147.999999999993</v>
      </c>
      <c r="D273" s="35" t="str">
        <f t="shared" si="20"/>
        <v>Partner Sales Tooling 201805</v>
      </c>
      <c r="E273" s="33" t="str">
        <f t="shared" si="21"/>
        <v>Partner Sales Tooling</v>
      </c>
      <c r="F273" s="36" t="str">
        <f t="shared" si="22"/>
        <v>05</v>
      </c>
      <c r="G273" s="36" t="str">
        <f t="shared" si="23"/>
        <v>2018</v>
      </c>
      <c r="H273" s="30">
        <f t="shared" si="24"/>
        <v>59147.999999999993</v>
      </c>
    </row>
    <row r="274" spans="2:8" x14ac:dyDescent="0.35">
      <c r="B274" s="28" t="s">
        <v>302</v>
      </c>
      <c r="C274" s="26">
        <v>-4232.76</v>
      </c>
      <c r="D274" s="35" t="str">
        <f t="shared" si="20"/>
        <v>Sales - Discounts 201805</v>
      </c>
      <c r="E274" s="33" t="str">
        <f t="shared" si="21"/>
        <v>Sales - Discounts</v>
      </c>
      <c r="F274" s="36" t="str">
        <f t="shared" si="22"/>
        <v>05</v>
      </c>
      <c r="G274" s="36" t="str">
        <f t="shared" si="23"/>
        <v>2018</v>
      </c>
      <c r="H274" s="30">
        <f t="shared" si="24"/>
        <v>-4232.76</v>
      </c>
    </row>
    <row r="275" spans="2:8" x14ac:dyDescent="0.35">
      <c r="B275" s="28" t="s">
        <v>303</v>
      </c>
      <c r="C275" s="26">
        <v>55.071800000000003</v>
      </c>
      <c r="D275" s="35" t="str">
        <f t="shared" si="20"/>
        <v>Sales - Freight Out 201805</v>
      </c>
      <c r="E275" s="33" t="str">
        <f t="shared" si="21"/>
        <v>Sales - Freight Out</v>
      </c>
      <c r="F275" s="36" t="str">
        <f t="shared" si="22"/>
        <v>05</v>
      </c>
      <c r="G275" s="36" t="str">
        <f t="shared" si="23"/>
        <v>2018</v>
      </c>
      <c r="H275" s="30">
        <f t="shared" si="24"/>
        <v>55.071800000000003</v>
      </c>
    </row>
    <row r="276" spans="2:8" x14ac:dyDescent="0.35">
      <c r="B276" s="28" t="s">
        <v>304</v>
      </c>
      <c r="C276" s="26">
        <v>-11537.487499999999</v>
      </c>
      <c r="D276" s="35" t="str">
        <f t="shared" si="20"/>
        <v>Sales - Returns 201805</v>
      </c>
      <c r="E276" s="33" t="str">
        <f t="shared" si="21"/>
        <v>Sales - Returns</v>
      </c>
      <c r="F276" s="36" t="str">
        <f t="shared" si="22"/>
        <v>05</v>
      </c>
      <c r="G276" s="36" t="str">
        <f t="shared" si="23"/>
        <v>2018</v>
      </c>
      <c r="H276" s="30">
        <f t="shared" si="24"/>
        <v>-11537.487499999999</v>
      </c>
    </row>
    <row r="277" spans="2:8" x14ac:dyDescent="0.35">
      <c r="B277" s="28" t="s">
        <v>305</v>
      </c>
      <c r="C277" s="26">
        <v>417863.7034</v>
      </c>
      <c r="D277" s="35" t="str">
        <f t="shared" si="20"/>
        <v>Automotive Sales 201806</v>
      </c>
      <c r="E277" s="33" t="str">
        <f t="shared" si="21"/>
        <v>Automotive Sales</v>
      </c>
      <c r="F277" s="36" t="str">
        <f t="shared" si="22"/>
        <v>06</v>
      </c>
      <c r="G277" s="36" t="str">
        <f t="shared" si="23"/>
        <v>2018</v>
      </c>
      <c r="H277" s="30">
        <f t="shared" si="24"/>
        <v>417863.7034</v>
      </c>
    </row>
    <row r="278" spans="2:8" x14ac:dyDescent="0.35">
      <c r="B278" s="28" t="s">
        <v>306</v>
      </c>
      <c r="C278" s="26">
        <v>0</v>
      </c>
      <c r="D278" s="35" t="str">
        <f t="shared" si="20"/>
        <v>Automotive Sales Tooling 201806</v>
      </c>
      <c r="E278" s="33" t="str">
        <f t="shared" si="21"/>
        <v>Automotive Sales Tooling</v>
      </c>
      <c r="F278" s="36" t="str">
        <f t="shared" si="22"/>
        <v>06</v>
      </c>
      <c r="G278" s="36" t="str">
        <f t="shared" si="23"/>
        <v>2018</v>
      </c>
      <c r="H278" s="30">
        <f t="shared" si="24"/>
        <v>0</v>
      </c>
    </row>
    <row r="279" spans="2:8" x14ac:dyDescent="0.35">
      <c r="B279" s="28" t="s">
        <v>307</v>
      </c>
      <c r="C279" s="26">
        <v>839695.91420000012</v>
      </c>
      <c r="D279" s="35" t="str">
        <f t="shared" si="20"/>
        <v>Bulk Sales 201806</v>
      </c>
      <c r="E279" s="33" t="str">
        <f t="shared" si="21"/>
        <v>Bulk Sales</v>
      </c>
      <c r="F279" s="36" t="str">
        <f t="shared" si="22"/>
        <v>06</v>
      </c>
      <c r="G279" s="36" t="str">
        <f t="shared" si="23"/>
        <v>2018</v>
      </c>
      <c r="H279" s="30">
        <f t="shared" si="24"/>
        <v>839695.91420000012</v>
      </c>
    </row>
    <row r="280" spans="2:8" x14ac:dyDescent="0.35">
      <c r="B280" s="28" t="s">
        <v>308</v>
      </c>
      <c r="C280" s="26">
        <v>158155.77599999998</v>
      </c>
      <c r="D280" s="35" t="str">
        <f t="shared" si="20"/>
        <v>Bulk Sales Tooling 201806</v>
      </c>
      <c r="E280" s="33" t="str">
        <f t="shared" si="21"/>
        <v>Bulk Sales Tooling</v>
      </c>
      <c r="F280" s="36" t="str">
        <f t="shared" si="22"/>
        <v>06</v>
      </c>
      <c r="G280" s="36" t="str">
        <f t="shared" si="23"/>
        <v>2018</v>
      </c>
      <c r="H280" s="30">
        <f t="shared" si="24"/>
        <v>158155.77599999998</v>
      </c>
    </row>
    <row r="281" spans="2:8" x14ac:dyDescent="0.35">
      <c r="B281" s="28" t="s">
        <v>309</v>
      </c>
      <c r="C281" s="26">
        <v>707599.97599999991</v>
      </c>
      <c r="D281" s="35" t="str">
        <f t="shared" si="20"/>
        <v>Consumer Sales 201806</v>
      </c>
      <c r="E281" s="33" t="str">
        <f t="shared" si="21"/>
        <v>Consumer Sales</v>
      </c>
      <c r="F281" s="36" t="str">
        <f t="shared" si="22"/>
        <v>06</v>
      </c>
      <c r="G281" s="36" t="str">
        <f t="shared" si="23"/>
        <v>2018</v>
      </c>
      <c r="H281" s="30">
        <f t="shared" si="24"/>
        <v>707599.97599999991</v>
      </c>
    </row>
    <row r="282" spans="2:8" x14ac:dyDescent="0.35">
      <c r="B282" s="28" t="s">
        <v>310</v>
      </c>
      <c r="C282" s="26">
        <v>7416</v>
      </c>
      <c r="D282" s="35" t="str">
        <f t="shared" si="20"/>
        <v>Consumer Sales Tooling 201806</v>
      </c>
      <c r="E282" s="33" t="str">
        <f t="shared" si="21"/>
        <v>Consumer Sales Tooling</v>
      </c>
      <c r="F282" s="36" t="str">
        <f t="shared" si="22"/>
        <v>06</v>
      </c>
      <c r="G282" s="36" t="str">
        <f t="shared" si="23"/>
        <v>2018</v>
      </c>
      <c r="H282" s="30">
        <f t="shared" si="24"/>
        <v>7416</v>
      </c>
    </row>
    <row r="283" spans="2:8" x14ac:dyDescent="0.35">
      <c r="B283" s="28" t="s">
        <v>311</v>
      </c>
      <c r="C283" s="26">
        <v>16323.7248</v>
      </c>
      <c r="D283" s="35" t="str">
        <f t="shared" si="20"/>
        <v>Electronics Sales 201806</v>
      </c>
      <c r="E283" s="33" t="str">
        <f t="shared" si="21"/>
        <v>Electronics Sales</v>
      </c>
      <c r="F283" s="36" t="str">
        <f t="shared" si="22"/>
        <v>06</v>
      </c>
      <c r="G283" s="36" t="str">
        <f t="shared" si="23"/>
        <v>2018</v>
      </c>
      <c r="H283" s="30">
        <f t="shared" si="24"/>
        <v>16323.7248</v>
      </c>
    </row>
    <row r="284" spans="2:8" x14ac:dyDescent="0.35">
      <c r="B284" s="28" t="s">
        <v>312</v>
      </c>
      <c r="C284" s="26">
        <v>0</v>
      </c>
      <c r="D284" s="35" t="str">
        <f t="shared" si="20"/>
        <v>Electronics Sales Tooling 201806</v>
      </c>
      <c r="E284" s="33" t="str">
        <f t="shared" si="21"/>
        <v>Electronics Sales Tooling</v>
      </c>
      <c r="F284" s="36" t="str">
        <f t="shared" si="22"/>
        <v>06</v>
      </c>
      <c r="G284" s="36" t="str">
        <f t="shared" si="23"/>
        <v>2018</v>
      </c>
      <c r="H284" s="30">
        <f t="shared" si="24"/>
        <v>0</v>
      </c>
    </row>
    <row r="285" spans="2:8" x14ac:dyDescent="0.35">
      <c r="B285" s="28" t="s">
        <v>313</v>
      </c>
      <c r="C285" s="26">
        <v>134254.66500000001</v>
      </c>
      <c r="D285" s="35" t="str">
        <f t="shared" si="20"/>
        <v>Mechanic Sales 201806</v>
      </c>
      <c r="E285" s="33" t="str">
        <f t="shared" si="21"/>
        <v>Mechanic Sales</v>
      </c>
      <c r="F285" s="36" t="str">
        <f t="shared" si="22"/>
        <v>06</v>
      </c>
      <c r="G285" s="36" t="str">
        <f t="shared" si="23"/>
        <v>2018</v>
      </c>
      <c r="H285" s="30">
        <f t="shared" si="24"/>
        <v>134254.66500000001</v>
      </c>
    </row>
    <row r="286" spans="2:8" x14ac:dyDescent="0.35">
      <c r="B286" s="28" t="s">
        <v>314</v>
      </c>
      <c r="C286" s="26">
        <v>60644.1</v>
      </c>
      <c r="D286" s="35" t="str">
        <f t="shared" si="20"/>
        <v>Mechanic Sales Tooling 201806</v>
      </c>
      <c r="E286" s="33" t="str">
        <f t="shared" si="21"/>
        <v>Mechanic Sales Tooling</v>
      </c>
      <c r="F286" s="36" t="str">
        <f t="shared" si="22"/>
        <v>06</v>
      </c>
      <c r="G286" s="36" t="str">
        <f t="shared" si="23"/>
        <v>2018</v>
      </c>
      <c r="H286" s="30">
        <f t="shared" si="24"/>
        <v>60644.1</v>
      </c>
    </row>
    <row r="287" spans="2:8" x14ac:dyDescent="0.35">
      <c r="B287" s="28" t="s">
        <v>315</v>
      </c>
      <c r="C287" s="26">
        <v>452.36</v>
      </c>
      <c r="D287" s="35" t="str">
        <f t="shared" si="20"/>
        <v>Non Operating sales201806</v>
      </c>
      <c r="E287" s="33" t="str">
        <f t="shared" si="21"/>
        <v>Non Operating sale</v>
      </c>
      <c r="F287" s="36" t="str">
        <f t="shared" si="22"/>
        <v>06</v>
      </c>
      <c r="G287" s="36" t="str">
        <f t="shared" si="23"/>
        <v>2018</v>
      </c>
      <c r="H287" s="30">
        <f t="shared" si="24"/>
        <v>452.36</v>
      </c>
    </row>
    <row r="288" spans="2:8" x14ac:dyDescent="0.35">
      <c r="B288" s="28" t="s">
        <v>316</v>
      </c>
      <c r="C288" s="26">
        <v>350252.89840000001</v>
      </c>
      <c r="D288" s="35" t="str">
        <f t="shared" si="20"/>
        <v>Partner Sales 201806</v>
      </c>
      <c r="E288" s="33" t="str">
        <f t="shared" si="21"/>
        <v>Partner Sales</v>
      </c>
      <c r="F288" s="36" t="str">
        <f t="shared" si="22"/>
        <v>06</v>
      </c>
      <c r="G288" s="36" t="str">
        <f t="shared" si="23"/>
        <v>2018</v>
      </c>
      <c r="H288" s="30">
        <f t="shared" si="24"/>
        <v>350252.89840000001</v>
      </c>
    </row>
    <row r="289" spans="2:8" x14ac:dyDescent="0.35">
      <c r="B289" s="28" t="s">
        <v>317</v>
      </c>
      <c r="C289" s="26">
        <v>7811.9999999999991</v>
      </c>
      <c r="D289" s="35" t="str">
        <f t="shared" si="20"/>
        <v>Partner Sales Tooling 201806</v>
      </c>
      <c r="E289" s="33" t="str">
        <f t="shared" si="21"/>
        <v>Partner Sales Tooling</v>
      </c>
      <c r="F289" s="36" t="str">
        <f t="shared" si="22"/>
        <v>06</v>
      </c>
      <c r="G289" s="36" t="str">
        <f t="shared" si="23"/>
        <v>2018</v>
      </c>
      <c r="H289" s="30">
        <f t="shared" si="24"/>
        <v>7811.9999999999991</v>
      </c>
    </row>
    <row r="290" spans="2:8" x14ac:dyDescent="0.35">
      <c r="B290" s="28" t="s">
        <v>318</v>
      </c>
      <c r="C290" s="26">
        <v>-3817.7439999999997</v>
      </c>
      <c r="D290" s="35" t="str">
        <f t="shared" si="20"/>
        <v>Sales - Discounts 201806</v>
      </c>
      <c r="E290" s="33" t="str">
        <f t="shared" si="21"/>
        <v>Sales - Discounts</v>
      </c>
      <c r="F290" s="36" t="str">
        <f t="shared" si="22"/>
        <v>06</v>
      </c>
      <c r="G290" s="36" t="str">
        <f t="shared" si="23"/>
        <v>2018</v>
      </c>
      <c r="H290" s="30">
        <f t="shared" si="24"/>
        <v>-3817.7439999999997</v>
      </c>
    </row>
    <row r="291" spans="2:8" x14ac:dyDescent="0.35">
      <c r="B291" s="28" t="s">
        <v>319</v>
      </c>
      <c r="C291" s="26">
        <v>108.2115</v>
      </c>
      <c r="D291" s="35" t="str">
        <f t="shared" si="20"/>
        <v>Sales - Freight Out 201806</v>
      </c>
      <c r="E291" s="33" t="str">
        <f t="shared" si="21"/>
        <v>Sales - Freight Out</v>
      </c>
      <c r="F291" s="36" t="str">
        <f t="shared" si="22"/>
        <v>06</v>
      </c>
      <c r="G291" s="36" t="str">
        <f t="shared" si="23"/>
        <v>2018</v>
      </c>
      <c r="H291" s="30">
        <f t="shared" si="24"/>
        <v>108.2115</v>
      </c>
    </row>
    <row r="292" spans="2:8" x14ac:dyDescent="0.35">
      <c r="B292" s="28" t="s">
        <v>320</v>
      </c>
      <c r="C292" s="26">
        <v>-10270.6625</v>
      </c>
      <c r="D292" s="35" t="str">
        <f t="shared" si="20"/>
        <v>Sales - Returns 201806</v>
      </c>
      <c r="E292" s="33" t="str">
        <f t="shared" si="21"/>
        <v>Sales - Returns</v>
      </c>
      <c r="F292" s="36" t="str">
        <f t="shared" si="22"/>
        <v>06</v>
      </c>
      <c r="G292" s="36" t="str">
        <f t="shared" si="23"/>
        <v>2018</v>
      </c>
      <c r="H292" s="30">
        <f t="shared" si="24"/>
        <v>-10270.6625</v>
      </c>
    </row>
    <row r="293" spans="2:8" x14ac:dyDescent="0.35">
      <c r="B293" s="28" t="s">
        <v>321</v>
      </c>
      <c r="C293" s="26">
        <v>-334801.22389999998</v>
      </c>
      <c r="D293" s="35" t="str">
        <f t="shared" si="20"/>
        <v>Automotive Sales 201807</v>
      </c>
      <c r="E293" s="33" t="str">
        <f t="shared" si="21"/>
        <v>Automotive Sales</v>
      </c>
      <c r="F293" s="36" t="str">
        <f t="shared" si="22"/>
        <v>07</v>
      </c>
      <c r="G293" s="36" t="str">
        <f t="shared" si="23"/>
        <v>2018</v>
      </c>
      <c r="H293" s="30">
        <f t="shared" si="24"/>
        <v>-334801.22389999998</v>
      </c>
    </row>
    <row r="294" spans="2:8" x14ac:dyDescent="0.35">
      <c r="B294" s="28" t="s">
        <v>322</v>
      </c>
      <c r="C294" s="26">
        <v>0</v>
      </c>
      <c r="D294" s="35" t="str">
        <f t="shared" si="20"/>
        <v>Automotive Sales Tooling 201807</v>
      </c>
      <c r="E294" s="33" t="str">
        <f t="shared" si="21"/>
        <v>Automotive Sales Tooling</v>
      </c>
      <c r="F294" s="36" t="str">
        <f t="shared" si="22"/>
        <v>07</v>
      </c>
      <c r="G294" s="36" t="str">
        <f t="shared" si="23"/>
        <v>2018</v>
      </c>
      <c r="H294" s="30">
        <f t="shared" si="24"/>
        <v>0</v>
      </c>
    </row>
    <row r="295" spans="2:8" x14ac:dyDescent="0.35">
      <c r="B295" s="28" t="s">
        <v>323</v>
      </c>
      <c r="C295" s="26">
        <v>-1026272.4867000001</v>
      </c>
      <c r="D295" s="35" t="str">
        <f t="shared" si="20"/>
        <v>Bulk Sales 201807</v>
      </c>
      <c r="E295" s="33" t="str">
        <f t="shared" si="21"/>
        <v>Bulk Sales</v>
      </c>
      <c r="F295" s="36" t="str">
        <f t="shared" si="22"/>
        <v>07</v>
      </c>
      <c r="G295" s="36" t="str">
        <f t="shared" si="23"/>
        <v>2018</v>
      </c>
      <c r="H295" s="30">
        <f t="shared" si="24"/>
        <v>-1026272.4867000001</v>
      </c>
    </row>
    <row r="296" spans="2:8" x14ac:dyDescent="0.35">
      <c r="B296" s="28" t="s">
        <v>324</v>
      </c>
      <c r="C296" s="26">
        <v>-182275.19999999998</v>
      </c>
      <c r="D296" s="35" t="str">
        <f t="shared" si="20"/>
        <v>Bulk Sales Tooling 201807</v>
      </c>
      <c r="E296" s="33" t="str">
        <f t="shared" si="21"/>
        <v>Bulk Sales Tooling</v>
      </c>
      <c r="F296" s="36" t="str">
        <f t="shared" si="22"/>
        <v>07</v>
      </c>
      <c r="G296" s="36" t="str">
        <f t="shared" si="23"/>
        <v>2018</v>
      </c>
      <c r="H296" s="30">
        <f t="shared" si="24"/>
        <v>-182275.19999999998</v>
      </c>
    </row>
    <row r="297" spans="2:8" x14ac:dyDescent="0.35">
      <c r="B297" s="28" t="s">
        <v>325</v>
      </c>
      <c r="C297" s="26">
        <v>-542890.75679999997</v>
      </c>
      <c r="D297" s="35" t="str">
        <f t="shared" si="20"/>
        <v>Consumer Sales 201807</v>
      </c>
      <c r="E297" s="33" t="str">
        <f t="shared" si="21"/>
        <v>Consumer Sales</v>
      </c>
      <c r="F297" s="36" t="str">
        <f t="shared" si="22"/>
        <v>07</v>
      </c>
      <c r="G297" s="36" t="str">
        <f t="shared" si="23"/>
        <v>2018</v>
      </c>
      <c r="H297" s="30">
        <f t="shared" si="24"/>
        <v>-542890.75679999997</v>
      </c>
    </row>
    <row r="298" spans="2:8" x14ac:dyDescent="0.35">
      <c r="B298" s="28" t="s">
        <v>326</v>
      </c>
      <c r="C298" s="26">
        <v>-59400</v>
      </c>
      <c r="D298" s="35" t="str">
        <f t="shared" si="20"/>
        <v>Consumer Sales Tooling 201807</v>
      </c>
      <c r="E298" s="33" t="str">
        <f t="shared" si="21"/>
        <v>Consumer Sales Tooling</v>
      </c>
      <c r="F298" s="36" t="str">
        <f t="shared" si="22"/>
        <v>07</v>
      </c>
      <c r="G298" s="36" t="str">
        <f t="shared" si="23"/>
        <v>2018</v>
      </c>
      <c r="H298" s="30">
        <f t="shared" si="24"/>
        <v>-59400</v>
      </c>
    </row>
    <row r="299" spans="2:8" x14ac:dyDescent="0.35">
      <c r="B299" s="28" t="s">
        <v>327</v>
      </c>
      <c r="C299" s="26">
        <v>0</v>
      </c>
      <c r="D299" s="35" t="str">
        <f t="shared" si="20"/>
        <v>Electronics Sales 201807</v>
      </c>
      <c r="E299" s="33" t="str">
        <f t="shared" si="21"/>
        <v>Electronics Sales</v>
      </c>
      <c r="F299" s="36" t="str">
        <f t="shared" si="22"/>
        <v>07</v>
      </c>
      <c r="G299" s="36" t="str">
        <f t="shared" si="23"/>
        <v>2018</v>
      </c>
      <c r="H299" s="30">
        <f t="shared" si="24"/>
        <v>0</v>
      </c>
    </row>
    <row r="300" spans="2:8" x14ac:dyDescent="0.35">
      <c r="B300" s="28" t="s">
        <v>328</v>
      </c>
      <c r="C300" s="26">
        <v>0</v>
      </c>
      <c r="D300" s="35" t="str">
        <f t="shared" si="20"/>
        <v>Electronics Sales Tooling 201807</v>
      </c>
      <c r="E300" s="33" t="str">
        <f t="shared" si="21"/>
        <v>Electronics Sales Tooling</v>
      </c>
      <c r="F300" s="36" t="str">
        <f t="shared" si="22"/>
        <v>07</v>
      </c>
      <c r="G300" s="36" t="str">
        <f t="shared" si="23"/>
        <v>2018</v>
      </c>
      <c r="H300" s="30">
        <f t="shared" si="24"/>
        <v>0</v>
      </c>
    </row>
    <row r="301" spans="2:8" x14ac:dyDescent="0.35">
      <c r="B301" s="28" t="s">
        <v>329</v>
      </c>
      <c r="C301" s="26">
        <v>0</v>
      </c>
      <c r="D301" s="35" t="str">
        <f t="shared" si="20"/>
        <v>Mechanic Sales 201807</v>
      </c>
      <c r="E301" s="33" t="str">
        <f t="shared" si="21"/>
        <v>Mechanic Sales</v>
      </c>
      <c r="F301" s="36" t="str">
        <f t="shared" si="22"/>
        <v>07</v>
      </c>
      <c r="G301" s="36" t="str">
        <f t="shared" si="23"/>
        <v>2018</v>
      </c>
      <c r="H301" s="30">
        <f t="shared" si="24"/>
        <v>0</v>
      </c>
    </row>
    <row r="302" spans="2:8" x14ac:dyDescent="0.35">
      <c r="B302" s="28" t="s">
        <v>330</v>
      </c>
      <c r="C302" s="26">
        <v>0</v>
      </c>
      <c r="D302" s="35" t="str">
        <f t="shared" si="20"/>
        <v>Mechanic Sales Tooling 201807</v>
      </c>
      <c r="E302" s="33" t="str">
        <f t="shared" si="21"/>
        <v>Mechanic Sales Tooling</v>
      </c>
      <c r="F302" s="36" t="str">
        <f t="shared" si="22"/>
        <v>07</v>
      </c>
      <c r="G302" s="36" t="str">
        <f t="shared" si="23"/>
        <v>2018</v>
      </c>
      <c r="H302" s="30">
        <f t="shared" si="24"/>
        <v>0</v>
      </c>
    </row>
    <row r="303" spans="2:8" x14ac:dyDescent="0.35">
      <c r="B303" s="28" t="s">
        <v>331</v>
      </c>
      <c r="C303" s="26">
        <v>0</v>
      </c>
      <c r="D303" s="35" t="str">
        <f t="shared" si="20"/>
        <v>Non Operating sales201807</v>
      </c>
      <c r="E303" s="33" t="str">
        <f t="shared" si="21"/>
        <v>Non Operating sale</v>
      </c>
      <c r="F303" s="36" t="str">
        <f t="shared" si="22"/>
        <v>07</v>
      </c>
      <c r="G303" s="36" t="str">
        <f t="shared" si="23"/>
        <v>2018</v>
      </c>
      <c r="H303" s="30">
        <f t="shared" si="24"/>
        <v>0</v>
      </c>
    </row>
    <row r="304" spans="2:8" x14ac:dyDescent="0.35">
      <c r="B304" s="28" t="s">
        <v>332</v>
      </c>
      <c r="C304" s="26">
        <v>-177675.96000000002</v>
      </c>
      <c r="D304" s="35" t="str">
        <f t="shared" si="20"/>
        <v>Partner Sales 201807</v>
      </c>
      <c r="E304" s="33" t="str">
        <f t="shared" si="21"/>
        <v>Partner Sales</v>
      </c>
      <c r="F304" s="36" t="str">
        <f t="shared" si="22"/>
        <v>07</v>
      </c>
      <c r="G304" s="36" t="str">
        <f t="shared" si="23"/>
        <v>2018</v>
      </c>
      <c r="H304" s="30">
        <f t="shared" si="24"/>
        <v>-177675.96000000002</v>
      </c>
    </row>
    <row r="305" spans="2:8" x14ac:dyDescent="0.35">
      <c r="B305" s="28" t="s">
        <v>333</v>
      </c>
      <c r="C305" s="26">
        <v>0</v>
      </c>
      <c r="D305" s="35" t="str">
        <f t="shared" si="20"/>
        <v>Partner Sales Tooling 201807</v>
      </c>
      <c r="E305" s="33" t="str">
        <f t="shared" si="21"/>
        <v>Partner Sales Tooling</v>
      </c>
      <c r="F305" s="36" t="str">
        <f t="shared" si="22"/>
        <v>07</v>
      </c>
      <c r="G305" s="36" t="str">
        <f t="shared" si="23"/>
        <v>2018</v>
      </c>
      <c r="H305" s="30">
        <f t="shared" si="24"/>
        <v>0</v>
      </c>
    </row>
    <row r="306" spans="2:8" x14ac:dyDescent="0.35">
      <c r="B306" s="28" t="s">
        <v>334</v>
      </c>
      <c r="C306" s="26">
        <v>-7688.9259999999995</v>
      </c>
      <c r="D306" s="35" t="str">
        <f t="shared" si="20"/>
        <v>Sales - Discounts 201807</v>
      </c>
      <c r="E306" s="33" t="str">
        <f t="shared" si="21"/>
        <v>Sales - Discounts</v>
      </c>
      <c r="F306" s="36" t="str">
        <f t="shared" si="22"/>
        <v>07</v>
      </c>
      <c r="G306" s="36" t="str">
        <f t="shared" si="23"/>
        <v>2018</v>
      </c>
      <c r="H306" s="30">
        <f t="shared" si="24"/>
        <v>-7688.9259999999995</v>
      </c>
    </row>
    <row r="307" spans="2:8" x14ac:dyDescent="0.35">
      <c r="B307" s="28" t="s">
        <v>335</v>
      </c>
      <c r="C307" s="26">
        <v>5974.4146000000001</v>
      </c>
      <c r="D307" s="35" t="str">
        <f t="shared" si="20"/>
        <v>Sales - Freight Out 201807</v>
      </c>
      <c r="E307" s="33" t="str">
        <f t="shared" si="21"/>
        <v>Sales - Freight Out</v>
      </c>
      <c r="F307" s="36" t="str">
        <f t="shared" si="22"/>
        <v>07</v>
      </c>
      <c r="G307" s="36" t="str">
        <f t="shared" si="23"/>
        <v>2018</v>
      </c>
      <c r="H307" s="30">
        <f t="shared" si="24"/>
        <v>5974.4146000000001</v>
      </c>
    </row>
    <row r="308" spans="2:8" x14ac:dyDescent="0.35">
      <c r="B308" s="28" t="s">
        <v>336</v>
      </c>
      <c r="C308" s="26">
        <v>-17417.724999999999</v>
      </c>
      <c r="D308" s="35" t="str">
        <f t="shared" si="20"/>
        <v>Sales - Returns 201807</v>
      </c>
      <c r="E308" s="33" t="str">
        <f t="shared" si="21"/>
        <v>Sales - Returns</v>
      </c>
      <c r="F308" s="36" t="str">
        <f t="shared" si="22"/>
        <v>07</v>
      </c>
      <c r="G308" s="36" t="str">
        <f t="shared" si="23"/>
        <v>2018</v>
      </c>
      <c r="H308" s="30">
        <f t="shared" si="24"/>
        <v>-17417.724999999999</v>
      </c>
    </row>
    <row r="309" spans="2:8" x14ac:dyDescent="0.35">
      <c r="B309" s="28" t="s">
        <v>337</v>
      </c>
      <c r="C309" s="26">
        <v>197648.15069999997</v>
      </c>
      <c r="D309" s="35" t="str">
        <f t="shared" si="20"/>
        <v>Automotive Sales 201808</v>
      </c>
      <c r="E309" s="33" t="str">
        <f t="shared" si="21"/>
        <v>Automotive Sales</v>
      </c>
      <c r="F309" s="36" t="str">
        <f t="shared" si="22"/>
        <v>08</v>
      </c>
      <c r="G309" s="36" t="str">
        <f t="shared" si="23"/>
        <v>2018</v>
      </c>
      <c r="H309" s="30">
        <f t="shared" si="24"/>
        <v>197648.15069999997</v>
      </c>
    </row>
    <row r="310" spans="2:8" x14ac:dyDescent="0.35">
      <c r="B310" s="28" t="s">
        <v>338</v>
      </c>
      <c r="C310" s="26">
        <v>254506</v>
      </c>
      <c r="D310" s="35" t="str">
        <f t="shared" si="20"/>
        <v>Automotive Sales Tooling 201808</v>
      </c>
      <c r="E310" s="33" t="str">
        <f t="shared" si="21"/>
        <v>Automotive Sales Tooling</v>
      </c>
      <c r="F310" s="36" t="str">
        <f t="shared" si="22"/>
        <v>08</v>
      </c>
      <c r="G310" s="36" t="str">
        <f t="shared" si="23"/>
        <v>2018</v>
      </c>
      <c r="H310" s="30">
        <f t="shared" si="24"/>
        <v>254506</v>
      </c>
    </row>
    <row r="311" spans="2:8" x14ac:dyDescent="0.35">
      <c r="B311" s="28" t="s">
        <v>339</v>
      </c>
      <c r="C311" s="26">
        <v>526496.56890000007</v>
      </c>
      <c r="D311" s="35" t="str">
        <f t="shared" si="20"/>
        <v>Bulk Sales 201808</v>
      </c>
      <c r="E311" s="33" t="str">
        <f t="shared" si="21"/>
        <v>Bulk Sales</v>
      </c>
      <c r="F311" s="36" t="str">
        <f t="shared" si="22"/>
        <v>08</v>
      </c>
      <c r="G311" s="36" t="str">
        <f t="shared" si="23"/>
        <v>2018</v>
      </c>
      <c r="H311" s="30">
        <f t="shared" si="24"/>
        <v>526496.56890000007</v>
      </c>
    </row>
    <row r="312" spans="2:8" x14ac:dyDescent="0.35">
      <c r="B312" s="28" t="s">
        <v>340</v>
      </c>
      <c r="C312" s="26">
        <v>58705.919999999998</v>
      </c>
      <c r="D312" s="35" t="str">
        <f t="shared" si="20"/>
        <v>Bulk Sales Tooling 201808</v>
      </c>
      <c r="E312" s="33" t="str">
        <f t="shared" si="21"/>
        <v>Bulk Sales Tooling</v>
      </c>
      <c r="F312" s="36" t="str">
        <f t="shared" si="22"/>
        <v>08</v>
      </c>
      <c r="G312" s="36" t="str">
        <f t="shared" si="23"/>
        <v>2018</v>
      </c>
      <c r="H312" s="30">
        <f t="shared" si="24"/>
        <v>58705.919999999998</v>
      </c>
    </row>
    <row r="313" spans="2:8" x14ac:dyDescent="0.35">
      <c r="B313" s="28" t="s">
        <v>341</v>
      </c>
      <c r="C313" s="26">
        <v>480019.00400000002</v>
      </c>
      <c r="D313" s="35" t="str">
        <f t="shared" si="20"/>
        <v>Consumer Sales 201808</v>
      </c>
      <c r="E313" s="33" t="str">
        <f t="shared" si="21"/>
        <v>Consumer Sales</v>
      </c>
      <c r="F313" s="36" t="str">
        <f t="shared" si="22"/>
        <v>08</v>
      </c>
      <c r="G313" s="36" t="str">
        <f t="shared" si="23"/>
        <v>2018</v>
      </c>
      <c r="H313" s="30">
        <f t="shared" si="24"/>
        <v>480019.00400000002</v>
      </c>
    </row>
    <row r="314" spans="2:8" x14ac:dyDescent="0.35">
      <c r="B314" s="28" t="s">
        <v>342</v>
      </c>
      <c r="C314" s="26">
        <v>0</v>
      </c>
      <c r="D314" s="35" t="str">
        <f t="shared" si="20"/>
        <v>Consumer Sales Tooling 201808</v>
      </c>
      <c r="E314" s="33" t="str">
        <f t="shared" si="21"/>
        <v>Consumer Sales Tooling</v>
      </c>
      <c r="F314" s="36" t="str">
        <f t="shared" si="22"/>
        <v>08</v>
      </c>
      <c r="G314" s="36" t="str">
        <f t="shared" si="23"/>
        <v>2018</v>
      </c>
      <c r="H314" s="30">
        <f t="shared" si="24"/>
        <v>0</v>
      </c>
    </row>
    <row r="315" spans="2:8" x14ac:dyDescent="0.35">
      <c r="B315" s="28" t="s">
        <v>343</v>
      </c>
      <c r="C315" s="26">
        <v>2495.232</v>
      </c>
      <c r="D315" s="35" t="str">
        <f t="shared" si="20"/>
        <v>Electronics Sales 201808</v>
      </c>
      <c r="E315" s="33" t="str">
        <f t="shared" si="21"/>
        <v>Electronics Sales</v>
      </c>
      <c r="F315" s="36" t="str">
        <f t="shared" si="22"/>
        <v>08</v>
      </c>
      <c r="G315" s="36" t="str">
        <f t="shared" si="23"/>
        <v>2018</v>
      </c>
      <c r="H315" s="30">
        <f t="shared" si="24"/>
        <v>2495.232</v>
      </c>
    </row>
    <row r="316" spans="2:8" x14ac:dyDescent="0.35">
      <c r="B316" s="28" t="s">
        <v>344</v>
      </c>
      <c r="C316" s="26">
        <v>0</v>
      </c>
      <c r="D316" s="35" t="str">
        <f t="shared" si="20"/>
        <v>Electronics Sales Tooling 201808</v>
      </c>
      <c r="E316" s="33" t="str">
        <f t="shared" si="21"/>
        <v>Electronics Sales Tooling</v>
      </c>
      <c r="F316" s="36" t="str">
        <f t="shared" si="22"/>
        <v>08</v>
      </c>
      <c r="G316" s="36" t="str">
        <f t="shared" si="23"/>
        <v>2018</v>
      </c>
      <c r="H316" s="30">
        <f t="shared" si="24"/>
        <v>0</v>
      </c>
    </row>
    <row r="317" spans="2:8" x14ac:dyDescent="0.35">
      <c r="B317" s="28" t="s">
        <v>345</v>
      </c>
      <c r="C317" s="26">
        <v>0</v>
      </c>
      <c r="D317" s="35" t="str">
        <f t="shared" si="20"/>
        <v>Mechanic Sales 201808</v>
      </c>
      <c r="E317" s="33" t="str">
        <f t="shared" si="21"/>
        <v>Mechanic Sales</v>
      </c>
      <c r="F317" s="36" t="str">
        <f t="shared" si="22"/>
        <v>08</v>
      </c>
      <c r="G317" s="36" t="str">
        <f t="shared" si="23"/>
        <v>2018</v>
      </c>
      <c r="H317" s="30">
        <f t="shared" si="24"/>
        <v>0</v>
      </c>
    </row>
    <row r="318" spans="2:8" x14ac:dyDescent="0.35">
      <c r="B318" s="28" t="s">
        <v>346</v>
      </c>
      <c r="C318" s="26">
        <v>33734.25</v>
      </c>
      <c r="D318" s="35" t="str">
        <f t="shared" si="20"/>
        <v>Mechanic Sales Tooling 201808</v>
      </c>
      <c r="E318" s="33" t="str">
        <f t="shared" si="21"/>
        <v>Mechanic Sales Tooling</v>
      </c>
      <c r="F318" s="36" t="str">
        <f t="shared" si="22"/>
        <v>08</v>
      </c>
      <c r="G318" s="36" t="str">
        <f t="shared" si="23"/>
        <v>2018</v>
      </c>
      <c r="H318" s="30">
        <f t="shared" si="24"/>
        <v>33734.25</v>
      </c>
    </row>
    <row r="319" spans="2:8" x14ac:dyDescent="0.35">
      <c r="B319" s="28" t="s">
        <v>347</v>
      </c>
      <c r="C319" s="26">
        <v>0</v>
      </c>
      <c r="D319" s="35" t="str">
        <f t="shared" si="20"/>
        <v>Non Operating sales201808</v>
      </c>
      <c r="E319" s="33" t="str">
        <f t="shared" si="21"/>
        <v>Non Operating sale</v>
      </c>
      <c r="F319" s="36" t="str">
        <f t="shared" si="22"/>
        <v>08</v>
      </c>
      <c r="G319" s="36" t="str">
        <f t="shared" si="23"/>
        <v>2018</v>
      </c>
      <c r="H319" s="30">
        <f t="shared" si="24"/>
        <v>0</v>
      </c>
    </row>
    <row r="320" spans="2:8" x14ac:dyDescent="0.35">
      <c r="B320" s="28" t="s">
        <v>348</v>
      </c>
      <c r="C320" s="26">
        <v>41272</v>
      </c>
      <c r="D320" s="35" t="str">
        <f t="shared" si="20"/>
        <v>Partner Sales 201808</v>
      </c>
      <c r="E320" s="33" t="str">
        <f t="shared" si="21"/>
        <v>Partner Sales</v>
      </c>
      <c r="F320" s="36" t="str">
        <f t="shared" si="22"/>
        <v>08</v>
      </c>
      <c r="G320" s="36" t="str">
        <f t="shared" si="23"/>
        <v>2018</v>
      </c>
      <c r="H320" s="30">
        <f t="shared" si="24"/>
        <v>41272</v>
      </c>
    </row>
    <row r="321" spans="2:8" x14ac:dyDescent="0.35">
      <c r="B321" s="28" t="s">
        <v>349</v>
      </c>
      <c r="C321" s="26">
        <v>38827.5</v>
      </c>
      <c r="D321" s="35" t="str">
        <f t="shared" si="20"/>
        <v>Partner Sales Tooling 201808</v>
      </c>
      <c r="E321" s="33" t="str">
        <f t="shared" si="21"/>
        <v>Partner Sales Tooling</v>
      </c>
      <c r="F321" s="36" t="str">
        <f t="shared" si="22"/>
        <v>08</v>
      </c>
      <c r="G321" s="36" t="str">
        <f t="shared" si="23"/>
        <v>2018</v>
      </c>
      <c r="H321" s="30">
        <f t="shared" si="24"/>
        <v>38827.5</v>
      </c>
    </row>
    <row r="322" spans="2:8" x14ac:dyDescent="0.35">
      <c r="B322" s="28" t="s">
        <v>350</v>
      </c>
      <c r="C322" s="26">
        <v>-1761.396</v>
      </c>
      <c r="D322" s="35" t="str">
        <f t="shared" si="20"/>
        <v>Sales - Discounts 201808</v>
      </c>
      <c r="E322" s="33" t="str">
        <f t="shared" si="21"/>
        <v>Sales - Discounts</v>
      </c>
      <c r="F322" s="36" t="str">
        <f t="shared" si="22"/>
        <v>08</v>
      </c>
      <c r="G322" s="36" t="str">
        <f t="shared" si="23"/>
        <v>2018</v>
      </c>
      <c r="H322" s="30">
        <f t="shared" si="24"/>
        <v>-1761.396</v>
      </c>
    </row>
    <row r="323" spans="2:8" x14ac:dyDescent="0.35">
      <c r="B323" s="28" t="s">
        <v>351</v>
      </c>
      <c r="C323" s="26">
        <v>104.02760000000002</v>
      </c>
      <c r="D323" s="35" t="str">
        <f t="shared" si="20"/>
        <v>Sales - Freight Out 201808</v>
      </c>
      <c r="E323" s="33" t="str">
        <f t="shared" si="21"/>
        <v>Sales - Freight Out</v>
      </c>
      <c r="F323" s="36" t="str">
        <f t="shared" si="22"/>
        <v>08</v>
      </c>
      <c r="G323" s="36" t="str">
        <f t="shared" si="23"/>
        <v>2018</v>
      </c>
      <c r="H323" s="30">
        <f t="shared" si="24"/>
        <v>104.02760000000002</v>
      </c>
    </row>
    <row r="324" spans="2:8" x14ac:dyDescent="0.35">
      <c r="B324" s="28" t="s">
        <v>352</v>
      </c>
      <c r="C324" s="26">
        <v>-27168.449999999997</v>
      </c>
      <c r="D324" s="35" t="str">
        <f t="shared" si="20"/>
        <v>Sales - Returns 201808</v>
      </c>
      <c r="E324" s="33" t="str">
        <f t="shared" si="21"/>
        <v>Sales - Returns</v>
      </c>
      <c r="F324" s="36" t="str">
        <f t="shared" si="22"/>
        <v>08</v>
      </c>
      <c r="G324" s="36" t="str">
        <f t="shared" si="23"/>
        <v>2018</v>
      </c>
      <c r="H324" s="30">
        <f t="shared" si="24"/>
        <v>-27168.449999999997</v>
      </c>
    </row>
    <row r="325" spans="2:8" x14ac:dyDescent="0.35">
      <c r="B325" s="28" t="s">
        <v>353</v>
      </c>
      <c r="C325" s="26">
        <v>163957.40789999999</v>
      </c>
      <c r="D325" s="35" t="str">
        <f t="shared" si="20"/>
        <v>Automotive Sales 201809</v>
      </c>
      <c r="E325" s="33" t="str">
        <f t="shared" si="21"/>
        <v>Automotive Sales</v>
      </c>
      <c r="F325" s="36" t="str">
        <f t="shared" si="22"/>
        <v>09</v>
      </c>
      <c r="G325" s="36" t="str">
        <f t="shared" si="23"/>
        <v>2018</v>
      </c>
      <c r="H325" s="30">
        <f t="shared" si="24"/>
        <v>163957.40789999999</v>
      </c>
    </row>
    <row r="326" spans="2:8" x14ac:dyDescent="0.35">
      <c r="B326" s="28" t="s">
        <v>354</v>
      </c>
      <c r="C326" s="26">
        <v>0</v>
      </c>
      <c r="D326" s="35" t="str">
        <f t="shared" ref="D326:D389" si="25">TRIM(B326)</f>
        <v>Automotive Sales Tooling 201809</v>
      </c>
      <c r="E326" s="33" t="str">
        <f t="shared" ref="E326:E389" si="26">LEFT(D326,LEN(D326)-7)</f>
        <v>Automotive Sales Tooling</v>
      </c>
      <c r="F326" s="36" t="str">
        <f t="shared" ref="F326:F389" si="27">RIGHT(D326,2)</f>
        <v>09</v>
      </c>
      <c r="G326" s="36" t="str">
        <f t="shared" ref="G326:G389" si="28">RIGHT(LEFT(D326,LEN(D326)-2),4)</f>
        <v>2018</v>
      </c>
      <c r="H326" s="30">
        <f t="shared" ref="H326:H389" si="29">C326</f>
        <v>0</v>
      </c>
    </row>
    <row r="327" spans="2:8" x14ac:dyDescent="0.35">
      <c r="B327" s="28" t="s">
        <v>355</v>
      </c>
      <c r="C327" s="26">
        <v>589727.00170000014</v>
      </c>
      <c r="D327" s="35" t="str">
        <f t="shared" si="25"/>
        <v>Bulk Sales 201809</v>
      </c>
      <c r="E327" s="33" t="str">
        <f t="shared" si="26"/>
        <v>Bulk Sales</v>
      </c>
      <c r="F327" s="36" t="str">
        <f t="shared" si="27"/>
        <v>09</v>
      </c>
      <c r="G327" s="36" t="str">
        <f t="shared" si="28"/>
        <v>2018</v>
      </c>
      <c r="H327" s="30">
        <f t="shared" si="29"/>
        <v>589727.00170000014</v>
      </c>
    </row>
    <row r="328" spans="2:8" x14ac:dyDescent="0.35">
      <c r="B328" s="28" t="s">
        <v>356</v>
      </c>
      <c r="C328" s="26">
        <v>155792.9088</v>
      </c>
      <c r="D328" s="35" t="str">
        <f t="shared" si="25"/>
        <v>Bulk Sales Tooling 201809</v>
      </c>
      <c r="E328" s="33" t="str">
        <f t="shared" si="26"/>
        <v>Bulk Sales Tooling</v>
      </c>
      <c r="F328" s="36" t="str">
        <f t="shared" si="27"/>
        <v>09</v>
      </c>
      <c r="G328" s="36" t="str">
        <f t="shared" si="28"/>
        <v>2018</v>
      </c>
      <c r="H328" s="30">
        <f t="shared" si="29"/>
        <v>155792.9088</v>
      </c>
    </row>
    <row r="329" spans="2:8" x14ac:dyDescent="0.35">
      <c r="B329" s="28" t="s">
        <v>357</v>
      </c>
      <c r="C329" s="26">
        <v>626165.14799999993</v>
      </c>
      <c r="D329" s="35" t="str">
        <f t="shared" si="25"/>
        <v>Consumer Sales 201809</v>
      </c>
      <c r="E329" s="33" t="str">
        <f t="shared" si="26"/>
        <v>Consumer Sales</v>
      </c>
      <c r="F329" s="36" t="str">
        <f t="shared" si="27"/>
        <v>09</v>
      </c>
      <c r="G329" s="36" t="str">
        <f t="shared" si="28"/>
        <v>2018</v>
      </c>
      <c r="H329" s="30">
        <f t="shared" si="29"/>
        <v>626165.14799999993</v>
      </c>
    </row>
    <row r="330" spans="2:8" x14ac:dyDescent="0.35">
      <c r="B330" s="28" t="s">
        <v>358</v>
      </c>
      <c r="C330" s="26">
        <v>0</v>
      </c>
      <c r="D330" s="35" t="str">
        <f t="shared" si="25"/>
        <v>Consumer Sales Tooling 201809</v>
      </c>
      <c r="E330" s="33" t="str">
        <f t="shared" si="26"/>
        <v>Consumer Sales Tooling</v>
      </c>
      <c r="F330" s="36" t="str">
        <f t="shared" si="27"/>
        <v>09</v>
      </c>
      <c r="G330" s="36" t="str">
        <f t="shared" si="28"/>
        <v>2018</v>
      </c>
      <c r="H330" s="30">
        <f t="shared" si="29"/>
        <v>0</v>
      </c>
    </row>
    <row r="331" spans="2:8" x14ac:dyDescent="0.35">
      <c r="B331" s="28" t="s">
        <v>359</v>
      </c>
      <c r="C331" s="26">
        <v>44182.843199999996</v>
      </c>
      <c r="D331" s="35" t="str">
        <f t="shared" si="25"/>
        <v>Electronics Sales 201809</v>
      </c>
      <c r="E331" s="33" t="str">
        <f t="shared" si="26"/>
        <v>Electronics Sales</v>
      </c>
      <c r="F331" s="36" t="str">
        <f t="shared" si="27"/>
        <v>09</v>
      </c>
      <c r="G331" s="36" t="str">
        <f t="shared" si="28"/>
        <v>2018</v>
      </c>
      <c r="H331" s="30">
        <f t="shared" si="29"/>
        <v>44182.843199999996</v>
      </c>
    </row>
    <row r="332" spans="2:8" x14ac:dyDescent="0.35">
      <c r="B332" s="28" t="s">
        <v>360</v>
      </c>
      <c r="C332" s="26">
        <v>0</v>
      </c>
      <c r="D332" s="35" t="str">
        <f t="shared" si="25"/>
        <v>Electronics Sales Tooling 201809</v>
      </c>
      <c r="E332" s="33" t="str">
        <f t="shared" si="26"/>
        <v>Electronics Sales Tooling</v>
      </c>
      <c r="F332" s="36" t="str">
        <f t="shared" si="27"/>
        <v>09</v>
      </c>
      <c r="G332" s="36" t="str">
        <f t="shared" si="28"/>
        <v>2018</v>
      </c>
      <c r="H332" s="30">
        <f t="shared" si="29"/>
        <v>0</v>
      </c>
    </row>
    <row r="333" spans="2:8" x14ac:dyDescent="0.35">
      <c r="B333" s="28" t="s">
        <v>361</v>
      </c>
      <c r="C333" s="26">
        <v>162183.73500000002</v>
      </c>
      <c r="D333" s="35" t="str">
        <f t="shared" si="25"/>
        <v>Mechanic Sales 201809</v>
      </c>
      <c r="E333" s="33" t="str">
        <f t="shared" si="26"/>
        <v>Mechanic Sales</v>
      </c>
      <c r="F333" s="36" t="str">
        <f t="shared" si="27"/>
        <v>09</v>
      </c>
      <c r="G333" s="36" t="str">
        <f t="shared" si="28"/>
        <v>2018</v>
      </c>
      <c r="H333" s="30">
        <f t="shared" si="29"/>
        <v>162183.73500000002</v>
      </c>
    </row>
    <row r="334" spans="2:8" x14ac:dyDescent="0.35">
      <c r="B334" s="28" t="s">
        <v>362</v>
      </c>
      <c r="C334" s="26">
        <v>38483.129999999997</v>
      </c>
      <c r="D334" s="35" t="str">
        <f t="shared" si="25"/>
        <v>Mechanic Sales Tooling 201809</v>
      </c>
      <c r="E334" s="33" t="str">
        <f t="shared" si="26"/>
        <v>Mechanic Sales Tooling</v>
      </c>
      <c r="F334" s="36" t="str">
        <f t="shared" si="27"/>
        <v>09</v>
      </c>
      <c r="G334" s="36" t="str">
        <f t="shared" si="28"/>
        <v>2018</v>
      </c>
      <c r="H334" s="30">
        <f t="shared" si="29"/>
        <v>38483.129999999997</v>
      </c>
    </row>
    <row r="335" spans="2:8" x14ac:dyDescent="0.35">
      <c r="B335" s="28" t="s">
        <v>363</v>
      </c>
      <c r="C335" s="26">
        <v>0</v>
      </c>
      <c r="D335" s="35" t="str">
        <f t="shared" si="25"/>
        <v>Non Operating sales201809</v>
      </c>
      <c r="E335" s="33" t="str">
        <f t="shared" si="26"/>
        <v>Non Operating sale</v>
      </c>
      <c r="F335" s="36" t="str">
        <f t="shared" si="27"/>
        <v>09</v>
      </c>
      <c r="G335" s="36" t="str">
        <f t="shared" si="28"/>
        <v>2018</v>
      </c>
      <c r="H335" s="30">
        <f t="shared" si="29"/>
        <v>0</v>
      </c>
    </row>
    <row r="336" spans="2:8" x14ac:dyDescent="0.35">
      <c r="B336" s="28" t="s">
        <v>364</v>
      </c>
      <c r="C336" s="26">
        <v>0</v>
      </c>
      <c r="D336" s="35" t="str">
        <f t="shared" si="25"/>
        <v>Partner Sales 201809</v>
      </c>
      <c r="E336" s="33" t="str">
        <f t="shared" si="26"/>
        <v>Partner Sales</v>
      </c>
      <c r="F336" s="36" t="str">
        <f t="shared" si="27"/>
        <v>09</v>
      </c>
      <c r="G336" s="36" t="str">
        <f t="shared" si="28"/>
        <v>2018</v>
      </c>
      <c r="H336" s="30">
        <f t="shared" si="29"/>
        <v>0</v>
      </c>
    </row>
    <row r="337" spans="2:8" x14ac:dyDescent="0.35">
      <c r="B337" s="28" t="s">
        <v>365</v>
      </c>
      <c r="C337" s="26">
        <v>176979</v>
      </c>
      <c r="D337" s="35" t="str">
        <f t="shared" si="25"/>
        <v>Partner Sales Tooling 201809</v>
      </c>
      <c r="E337" s="33" t="str">
        <f t="shared" si="26"/>
        <v>Partner Sales Tooling</v>
      </c>
      <c r="F337" s="36" t="str">
        <f t="shared" si="27"/>
        <v>09</v>
      </c>
      <c r="G337" s="36" t="str">
        <f t="shared" si="28"/>
        <v>2018</v>
      </c>
      <c r="H337" s="30">
        <f t="shared" si="29"/>
        <v>176979</v>
      </c>
    </row>
    <row r="338" spans="2:8" x14ac:dyDescent="0.35">
      <c r="B338" s="28" t="s">
        <v>366</v>
      </c>
      <c r="C338" s="26">
        <v>-2972.1859999999997</v>
      </c>
      <c r="D338" s="35" t="str">
        <f t="shared" si="25"/>
        <v>Sales - Discounts 201809</v>
      </c>
      <c r="E338" s="33" t="str">
        <f t="shared" si="26"/>
        <v>Sales - Discounts</v>
      </c>
      <c r="F338" s="36" t="str">
        <f t="shared" si="27"/>
        <v>09</v>
      </c>
      <c r="G338" s="36" t="str">
        <f t="shared" si="28"/>
        <v>2018</v>
      </c>
      <c r="H338" s="30">
        <f t="shared" si="29"/>
        <v>-2972.1859999999997</v>
      </c>
    </row>
    <row r="339" spans="2:8" x14ac:dyDescent="0.35">
      <c r="B339" s="28" t="s">
        <v>367</v>
      </c>
      <c r="C339" s="26">
        <v>5140.6787000000004</v>
      </c>
      <c r="D339" s="35" t="str">
        <f t="shared" si="25"/>
        <v>Sales - Freight Out 201809</v>
      </c>
      <c r="E339" s="33" t="str">
        <f t="shared" si="26"/>
        <v>Sales - Freight Out</v>
      </c>
      <c r="F339" s="36" t="str">
        <f t="shared" si="27"/>
        <v>09</v>
      </c>
      <c r="G339" s="36" t="str">
        <f t="shared" si="28"/>
        <v>2018</v>
      </c>
      <c r="H339" s="30">
        <f t="shared" si="29"/>
        <v>5140.6787000000004</v>
      </c>
    </row>
    <row r="340" spans="2:8" x14ac:dyDescent="0.35">
      <c r="B340" s="28" t="s">
        <v>368</v>
      </c>
      <c r="C340" s="26">
        <v>-7107.1624999999995</v>
      </c>
      <c r="D340" s="35" t="str">
        <f t="shared" si="25"/>
        <v>Sales - Returns 201809</v>
      </c>
      <c r="E340" s="33" t="str">
        <f t="shared" si="26"/>
        <v>Sales - Returns</v>
      </c>
      <c r="F340" s="36" t="str">
        <f t="shared" si="27"/>
        <v>09</v>
      </c>
      <c r="G340" s="36" t="str">
        <f t="shared" si="28"/>
        <v>2018</v>
      </c>
      <c r="H340" s="30">
        <f t="shared" si="29"/>
        <v>-7107.1624999999995</v>
      </c>
    </row>
    <row r="341" spans="2:8" x14ac:dyDescent="0.35">
      <c r="B341" s="28" t="s">
        <v>369</v>
      </c>
      <c r="C341" s="26">
        <v>210881.7997</v>
      </c>
      <c r="D341" s="35" t="str">
        <f t="shared" si="25"/>
        <v>Automotive Sales 201810</v>
      </c>
      <c r="E341" s="33" t="str">
        <f t="shared" si="26"/>
        <v>Automotive Sales</v>
      </c>
      <c r="F341" s="36" t="str">
        <f t="shared" si="27"/>
        <v>10</v>
      </c>
      <c r="G341" s="36" t="str">
        <f t="shared" si="28"/>
        <v>2018</v>
      </c>
      <c r="H341" s="30">
        <f t="shared" si="29"/>
        <v>210881.7997</v>
      </c>
    </row>
    <row r="342" spans="2:8" x14ac:dyDescent="0.35">
      <c r="B342" s="28" t="s">
        <v>370</v>
      </c>
      <c r="C342" s="26">
        <v>0</v>
      </c>
      <c r="D342" s="35" t="str">
        <f t="shared" si="25"/>
        <v>Automotive Sales Tooling 201810</v>
      </c>
      <c r="E342" s="33" t="str">
        <f t="shared" si="26"/>
        <v>Automotive Sales Tooling</v>
      </c>
      <c r="F342" s="36" t="str">
        <f t="shared" si="27"/>
        <v>10</v>
      </c>
      <c r="G342" s="36" t="str">
        <f t="shared" si="28"/>
        <v>2018</v>
      </c>
      <c r="H342" s="30">
        <f t="shared" si="29"/>
        <v>0</v>
      </c>
    </row>
    <row r="343" spans="2:8" x14ac:dyDescent="0.35">
      <c r="B343" s="28" t="s">
        <v>371</v>
      </c>
      <c r="C343" s="26">
        <v>759149.66760000004</v>
      </c>
      <c r="D343" s="35" t="str">
        <f t="shared" si="25"/>
        <v>Bulk Sales 201810</v>
      </c>
      <c r="E343" s="33" t="str">
        <f t="shared" si="26"/>
        <v>Bulk Sales</v>
      </c>
      <c r="F343" s="36" t="str">
        <f t="shared" si="27"/>
        <v>10</v>
      </c>
      <c r="G343" s="36" t="str">
        <f t="shared" si="28"/>
        <v>2018</v>
      </c>
      <c r="H343" s="30">
        <f t="shared" si="29"/>
        <v>759149.66760000004</v>
      </c>
    </row>
    <row r="344" spans="2:8" x14ac:dyDescent="0.35">
      <c r="B344" s="28" t="s">
        <v>372</v>
      </c>
      <c r="C344" s="26">
        <v>25855.200000000001</v>
      </c>
      <c r="D344" s="35" t="str">
        <f t="shared" si="25"/>
        <v>Bulk Sales Tooling 201810</v>
      </c>
      <c r="E344" s="33" t="str">
        <f t="shared" si="26"/>
        <v>Bulk Sales Tooling</v>
      </c>
      <c r="F344" s="36" t="str">
        <f t="shared" si="27"/>
        <v>10</v>
      </c>
      <c r="G344" s="36" t="str">
        <f t="shared" si="28"/>
        <v>2018</v>
      </c>
      <c r="H344" s="30">
        <f t="shared" si="29"/>
        <v>25855.200000000001</v>
      </c>
    </row>
    <row r="345" spans="2:8" x14ac:dyDescent="0.35">
      <c r="B345" s="28" t="s">
        <v>373</v>
      </c>
      <c r="C345" s="26">
        <v>363536.90799999994</v>
      </c>
      <c r="D345" s="35" t="str">
        <f t="shared" si="25"/>
        <v>Consumer Sales 201810</v>
      </c>
      <c r="E345" s="33" t="str">
        <f t="shared" si="26"/>
        <v>Consumer Sales</v>
      </c>
      <c r="F345" s="36" t="str">
        <f t="shared" si="27"/>
        <v>10</v>
      </c>
      <c r="G345" s="36" t="str">
        <f t="shared" si="28"/>
        <v>2018</v>
      </c>
      <c r="H345" s="30">
        <f t="shared" si="29"/>
        <v>363536.90799999994</v>
      </c>
    </row>
    <row r="346" spans="2:8" x14ac:dyDescent="0.35">
      <c r="B346" s="28" t="s">
        <v>374</v>
      </c>
      <c r="C346" s="26">
        <v>0</v>
      </c>
      <c r="D346" s="35" t="str">
        <f t="shared" si="25"/>
        <v>Consumer Sales Tooling 201810</v>
      </c>
      <c r="E346" s="33" t="str">
        <f t="shared" si="26"/>
        <v>Consumer Sales Tooling</v>
      </c>
      <c r="F346" s="36" t="str">
        <f t="shared" si="27"/>
        <v>10</v>
      </c>
      <c r="G346" s="36" t="str">
        <f t="shared" si="28"/>
        <v>2018</v>
      </c>
      <c r="H346" s="30">
        <f t="shared" si="29"/>
        <v>0</v>
      </c>
    </row>
    <row r="347" spans="2:8" x14ac:dyDescent="0.35">
      <c r="B347" s="28" t="s">
        <v>375</v>
      </c>
      <c r="C347" s="26">
        <v>33331.2192</v>
      </c>
      <c r="D347" s="35" t="str">
        <f t="shared" si="25"/>
        <v>Electronics Sales 201810</v>
      </c>
      <c r="E347" s="33" t="str">
        <f t="shared" si="26"/>
        <v>Electronics Sales</v>
      </c>
      <c r="F347" s="36" t="str">
        <f t="shared" si="27"/>
        <v>10</v>
      </c>
      <c r="G347" s="36" t="str">
        <f t="shared" si="28"/>
        <v>2018</v>
      </c>
      <c r="H347" s="30">
        <f t="shared" si="29"/>
        <v>33331.2192</v>
      </c>
    </row>
    <row r="348" spans="2:8" x14ac:dyDescent="0.35">
      <c r="B348" s="28" t="s">
        <v>376</v>
      </c>
      <c r="C348" s="26">
        <v>0</v>
      </c>
      <c r="D348" s="35" t="str">
        <f t="shared" si="25"/>
        <v>Electronics Sales Tooling 201810</v>
      </c>
      <c r="E348" s="33" t="str">
        <f t="shared" si="26"/>
        <v>Electronics Sales Tooling</v>
      </c>
      <c r="F348" s="36" t="str">
        <f t="shared" si="27"/>
        <v>10</v>
      </c>
      <c r="G348" s="36" t="str">
        <f t="shared" si="28"/>
        <v>2018</v>
      </c>
      <c r="H348" s="30">
        <f t="shared" si="29"/>
        <v>0</v>
      </c>
    </row>
    <row r="349" spans="2:8" x14ac:dyDescent="0.35">
      <c r="B349" s="28" t="s">
        <v>377</v>
      </c>
      <c r="C349" s="26">
        <v>132145.69500000001</v>
      </c>
      <c r="D349" s="35" t="str">
        <f t="shared" si="25"/>
        <v>Mechanic Sales 201810</v>
      </c>
      <c r="E349" s="33" t="str">
        <f t="shared" si="26"/>
        <v>Mechanic Sales</v>
      </c>
      <c r="F349" s="36" t="str">
        <f t="shared" si="27"/>
        <v>10</v>
      </c>
      <c r="G349" s="36" t="str">
        <f t="shared" si="28"/>
        <v>2018</v>
      </c>
      <c r="H349" s="30">
        <f t="shared" si="29"/>
        <v>132145.69500000001</v>
      </c>
    </row>
    <row r="350" spans="2:8" x14ac:dyDescent="0.35">
      <c r="B350" s="28" t="s">
        <v>378</v>
      </c>
      <c r="C350" s="26">
        <v>0</v>
      </c>
      <c r="D350" s="35" t="str">
        <f t="shared" si="25"/>
        <v>Mechanic Sales Tooling 201810</v>
      </c>
      <c r="E350" s="33" t="str">
        <f t="shared" si="26"/>
        <v>Mechanic Sales Tooling</v>
      </c>
      <c r="F350" s="36" t="str">
        <f t="shared" si="27"/>
        <v>10</v>
      </c>
      <c r="G350" s="36" t="str">
        <f t="shared" si="28"/>
        <v>2018</v>
      </c>
      <c r="H350" s="30">
        <f t="shared" si="29"/>
        <v>0</v>
      </c>
    </row>
    <row r="351" spans="2:8" x14ac:dyDescent="0.35">
      <c r="B351" s="28" t="s">
        <v>379</v>
      </c>
      <c r="C351" s="26">
        <v>0</v>
      </c>
      <c r="D351" s="35" t="str">
        <f t="shared" si="25"/>
        <v>Non Operating sales201810</v>
      </c>
      <c r="E351" s="33" t="str">
        <f t="shared" si="26"/>
        <v>Non Operating sale</v>
      </c>
      <c r="F351" s="36" t="str">
        <f t="shared" si="27"/>
        <v>10</v>
      </c>
      <c r="G351" s="36" t="str">
        <f t="shared" si="28"/>
        <v>2018</v>
      </c>
      <c r="H351" s="30">
        <f t="shared" si="29"/>
        <v>0</v>
      </c>
    </row>
    <row r="352" spans="2:8" x14ac:dyDescent="0.35">
      <c r="B352" s="28" t="s">
        <v>380</v>
      </c>
      <c r="C352" s="26">
        <v>50294.166400000002</v>
      </c>
      <c r="D352" s="35" t="str">
        <f t="shared" si="25"/>
        <v>Partner Sales 201810</v>
      </c>
      <c r="E352" s="33" t="str">
        <f t="shared" si="26"/>
        <v>Partner Sales</v>
      </c>
      <c r="F352" s="36" t="str">
        <f t="shared" si="27"/>
        <v>10</v>
      </c>
      <c r="G352" s="36" t="str">
        <f t="shared" si="28"/>
        <v>2018</v>
      </c>
      <c r="H352" s="30">
        <f t="shared" si="29"/>
        <v>50294.166400000002</v>
      </c>
    </row>
    <row r="353" spans="2:8" x14ac:dyDescent="0.35">
      <c r="B353" s="28" t="s">
        <v>381</v>
      </c>
      <c r="C353" s="26">
        <v>0</v>
      </c>
      <c r="D353" s="35" t="str">
        <f t="shared" si="25"/>
        <v>Partner Sales Tooling 201810</v>
      </c>
      <c r="E353" s="33" t="str">
        <f t="shared" si="26"/>
        <v>Partner Sales Tooling</v>
      </c>
      <c r="F353" s="36" t="str">
        <f t="shared" si="27"/>
        <v>10</v>
      </c>
      <c r="G353" s="36" t="str">
        <f t="shared" si="28"/>
        <v>2018</v>
      </c>
      <c r="H353" s="30">
        <f t="shared" si="29"/>
        <v>0</v>
      </c>
    </row>
    <row r="354" spans="2:8" x14ac:dyDescent="0.35">
      <c r="B354" s="28" t="s">
        <v>382</v>
      </c>
      <c r="C354" s="26">
        <v>-2566.942</v>
      </c>
      <c r="D354" s="35" t="str">
        <f t="shared" si="25"/>
        <v>Sales - Discounts 201810</v>
      </c>
      <c r="E354" s="33" t="str">
        <f t="shared" si="26"/>
        <v>Sales - Discounts</v>
      </c>
      <c r="F354" s="36" t="str">
        <f t="shared" si="27"/>
        <v>10</v>
      </c>
      <c r="G354" s="36" t="str">
        <f t="shared" si="28"/>
        <v>2018</v>
      </c>
      <c r="H354" s="30">
        <f t="shared" si="29"/>
        <v>-2566.942</v>
      </c>
    </row>
    <row r="355" spans="2:8" x14ac:dyDescent="0.35">
      <c r="B355" s="28" t="s">
        <v>383</v>
      </c>
      <c r="C355" s="26">
        <v>83.997700000000009</v>
      </c>
      <c r="D355" s="35" t="str">
        <f t="shared" si="25"/>
        <v>Sales - Freight Out 201810</v>
      </c>
      <c r="E355" s="33" t="str">
        <f t="shared" si="26"/>
        <v>Sales - Freight Out</v>
      </c>
      <c r="F355" s="36" t="str">
        <f t="shared" si="27"/>
        <v>10</v>
      </c>
      <c r="G355" s="36" t="str">
        <f t="shared" si="28"/>
        <v>2018</v>
      </c>
      <c r="H355" s="30">
        <f t="shared" si="29"/>
        <v>83.997700000000009</v>
      </c>
    </row>
    <row r="356" spans="2:8" x14ac:dyDescent="0.35">
      <c r="B356" s="28" t="s">
        <v>384</v>
      </c>
      <c r="C356" s="26">
        <v>-90450.324999999997</v>
      </c>
      <c r="D356" s="35" t="str">
        <f t="shared" si="25"/>
        <v>Sales - Returns 201810</v>
      </c>
      <c r="E356" s="33" t="str">
        <f t="shared" si="26"/>
        <v>Sales - Returns</v>
      </c>
      <c r="F356" s="36" t="str">
        <f t="shared" si="27"/>
        <v>10</v>
      </c>
      <c r="G356" s="36" t="str">
        <f t="shared" si="28"/>
        <v>2018</v>
      </c>
      <c r="H356" s="30">
        <f t="shared" si="29"/>
        <v>-90450.324999999997</v>
      </c>
    </row>
    <row r="357" spans="2:8" x14ac:dyDescent="0.35">
      <c r="B357" s="28" t="s">
        <v>385</v>
      </c>
      <c r="C357" s="26">
        <v>108231.82369999999</v>
      </c>
      <c r="D357" s="35" t="str">
        <f t="shared" si="25"/>
        <v>Automotive Sales 201811</v>
      </c>
      <c r="E357" s="33" t="str">
        <f t="shared" si="26"/>
        <v>Automotive Sales</v>
      </c>
      <c r="F357" s="36" t="str">
        <f t="shared" si="27"/>
        <v>11</v>
      </c>
      <c r="G357" s="36" t="str">
        <f t="shared" si="28"/>
        <v>2018</v>
      </c>
      <c r="H357" s="30">
        <f t="shared" si="29"/>
        <v>108231.82369999999</v>
      </c>
    </row>
    <row r="358" spans="2:8" x14ac:dyDescent="0.35">
      <c r="B358" s="28" t="s">
        <v>386</v>
      </c>
      <c r="C358" s="26">
        <v>0</v>
      </c>
      <c r="D358" s="35" t="str">
        <f t="shared" si="25"/>
        <v>Automotive Sales Tooling 201811</v>
      </c>
      <c r="E358" s="33" t="str">
        <f t="shared" si="26"/>
        <v>Automotive Sales Tooling</v>
      </c>
      <c r="F358" s="36" t="str">
        <f t="shared" si="27"/>
        <v>11</v>
      </c>
      <c r="G358" s="36" t="str">
        <f t="shared" si="28"/>
        <v>2018</v>
      </c>
      <c r="H358" s="30">
        <f t="shared" si="29"/>
        <v>0</v>
      </c>
    </row>
    <row r="359" spans="2:8" x14ac:dyDescent="0.35">
      <c r="B359" s="28" t="s">
        <v>387</v>
      </c>
      <c r="C359" s="26">
        <v>771173.80700000015</v>
      </c>
      <c r="D359" s="35" t="str">
        <f t="shared" si="25"/>
        <v>Bulk Sales 201811</v>
      </c>
      <c r="E359" s="33" t="str">
        <f t="shared" si="26"/>
        <v>Bulk Sales</v>
      </c>
      <c r="F359" s="36" t="str">
        <f t="shared" si="27"/>
        <v>11</v>
      </c>
      <c r="G359" s="36" t="str">
        <f t="shared" si="28"/>
        <v>2018</v>
      </c>
      <c r="H359" s="30">
        <f t="shared" si="29"/>
        <v>771173.80700000015</v>
      </c>
    </row>
    <row r="360" spans="2:8" x14ac:dyDescent="0.35">
      <c r="B360" s="28" t="s">
        <v>388</v>
      </c>
      <c r="C360" s="26">
        <v>29952</v>
      </c>
      <c r="D360" s="35" t="str">
        <f t="shared" si="25"/>
        <v>Bulk Sales Tooling 201811</v>
      </c>
      <c r="E360" s="33" t="str">
        <f t="shared" si="26"/>
        <v>Bulk Sales Tooling</v>
      </c>
      <c r="F360" s="36" t="str">
        <f t="shared" si="27"/>
        <v>11</v>
      </c>
      <c r="G360" s="36" t="str">
        <f t="shared" si="28"/>
        <v>2018</v>
      </c>
      <c r="H360" s="30">
        <f t="shared" si="29"/>
        <v>29952</v>
      </c>
    </row>
    <row r="361" spans="2:8" x14ac:dyDescent="0.35">
      <c r="B361" s="28" t="s">
        <v>389</v>
      </c>
      <c r="C361" s="26">
        <v>775290.1544</v>
      </c>
      <c r="D361" s="35" t="str">
        <f t="shared" si="25"/>
        <v>Consumer Sales 201811</v>
      </c>
      <c r="E361" s="33" t="str">
        <f t="shared" si="26"/>
        <v>Consumer Sales</v>
      </c>
      <c r="F361" s="36" t="str">
        <f t="shared" si="27"/>
        <v>11</v>
      </c>
      <c r="G361" s="36" t="str">
        <f t="shared" si="28"/>
        <v>2018</v>
      </c>
      <c r="H361" s="30">
        <f t="shared" si="29"/>
        <v>775290.1544</v>
      </c>
    </row>
    <row r="362" spans="2:8" x14ac:dyDescent="0.35">
      <c r="B362" s="28" t="s">
        <v>390</v>
      </c>
      <c r="C362" s="26">
        <v>82800</v>
      </c>
      <c r="D362" s="35" t="str">
        <f t="shared" si="25"/>
        <v>Consumer Sales Tooling 201811</v>
      </c>
      <c r="E362" s="33" t="str">
        <f t="shared" si="26"/>
        <v>Consumer Sales Tooling</v>
      </c>
      <c r="F362" s="36" t="str">
        <f t="shared" si="27"/>
        <v>11</v>
      </c>
      <c r="G362" s="36" t="str">
        <f t="shared" si="28"/>
        <v>2018</v>
      </c>
      <c r="H362" s="30">
        <f t="shared" si="29"/>
        <v>82800</v>
      </c>
    </row>
    <row r="363" spans="2:8" x14ac:dyDescent="0.35">
      <c r="B363" s="28" t="s">
        <v>391</v>
      </c>
      <c r="C363" s="26">
        <v>18734.961599999999</v>
      </c>
      <c r="D363" s="35" t="str">
        <f t="shared" si="25"/>
        <v>Electronics Sales 201811</v>
      </c>
      <c r="E363" s="33" t="str">
        <f t="shared" si="26"/>
        <v>Electronics Sales</v>
      </c>
      <c r="F363" s="36" t="str">
        <f t="shared" si="27"/>
        <v>11</v>
      </c>
      <c r="G363" s="36" t="str">
        <f t="shared" si="28"/>
        <v>2018</v>
      </c>
      <c r="H363" s="30">
        <f t="shared" si="29"/>
        <v>18734.961599999999</v>
      </c>
    </row>
    <row r="364" spans="2:8" x14ac:dyDescent="0.35">
      <c r="B364" s="28" t="s">
        <v>392</v>
      </c>
      <c r="C364" s="26">
        <v>0</v>
      </c>
      <c r="D364" s="35" t="str">
        <f t="shared" si="25"/>
        <v>Electronics Sales Tooling 201811</v>
      </c>
      <c r="E364" s="33" t="str">
        <f t="shared" si="26"/>
        <v>Electronics Sales Tooling</v>
      </c>
      <c r="F364" s="36" t="str">
        <f t="shared" si="27"/>
        <v>11</v>
      </c>
      <c r="G364" s="36" t="str">
        <f t="shared" si="28"/>
        <v>2018</v>
      </c>
      <c r="H364" s="30">
        <f t="shared" si="29"/>
        <v>0</v>
      </c>
    </row>
    <row r="365" spans="2:8" x14ac:dyDescent="0.35">
      <c r="B365" s="28" t="s">
        <v>393</v>
      </c>
      <c r="C365" s="26">
        <v>0</v>
      </c>
      <c r="D365" s="35" t="str">
        <f t="shared" si="25"/>
        <v>Mechanic Sales 201811</v>
      </c>
      <c r="E365" s="33" t="str">
        <f t="shared" si="26"/>
        <v>Mechanic Sales</v>
      </c>
      <c r="F365" s="36" t="str">
        <f t="shared" si="27"/>
        <v>11</v>
      </c>
      <c r="G365" s="36" t="str">
        <f t="shared" si="28"/>
        <v>2018</v>
      </c>
      <c r="H365" s="30">
        <f t="shared" si="29"/>
        <v>0</v>
      </c>
    </row>
    <row r="366" spans="2:8" x14ac:dyDescent="0.35">
      <c r="B366" s="28" t="s">
        <v>394</v>
      </c>
      <c r="C366" s="26">
        <v>0</v>
      </c>
      <c r="D366" s="35" t="str">
        <f t="shared" si="25"/>
        <v>Mechanic Sales Tooling 201811</v>
      </c>
      <c r="E366" s="33" t="str">
        <f t="shared" si="26"/>
        <v>Mechanic Sales Tooling</v>
      </c>
      <c r="F366" s="36" t="str">
        <f t="shared" si="27"/>
        <v>11</v>
      </c>
      <c r="G366" s="36" t="str">
        <f t="shared" si="28"/>
        <v>2018</v>
      </c>
      <c r="H366" s="30">
        <f t="shared" si="29"/>
        <v>0</v>
      </c>
    </row>
    <row r="367" spans="2:8" x14ac:dyDescent="0.35">
      <c r="B367" s="28" t="s">
        <v>395</v>
      </c>
      <c r="C367" s="26">
        <v>0</v>
      </c>
      <c r="D367" s="35" t="str">
        <f t="shared" si="25"/>
        <v>Non Operating sales201811</v>
      </c>
      <c r="E367" s="33" t="str">
        <f t="shared" si="26"/>
        <v>Non Operating sale</v>
      </c>
      <c r="F367" s="36" t="str">
        <f t="shared" si="27"/>
        <v>11</v>
      </c>
      <c r="G367" s="36" t="str">
        <f t="shared" si="28"/>
        <v>2018</v>
      </c>
      <c r="H367" s="30">
        <f t="shared" si="29"/>
        <v>0</v>
      </c>
    </row>
    <row r="368" spans="2:8" x14ac:dyDescent="0.35">
      <c r="B368" s="28" t="s">
        <v>396</v>
      </c>
      <c r="C368" s="26">
        <v>16887.014999999999</v>
      </c>
      <c r="D368" s="35" t="str">
        <f t="shared" si="25"/>
        <v>Partner Sales 201811</v>
      </c>
      <c r="E368" s="33" t="str">
        <f t="shared" si="26"/>
        <v>Partner Sales</v>
      </c>
      <c r="F368" s="36" t="str">
        <f t="shared" si="27"/>
        <v>11</v>
      </c>
      <c r="G368" s="36" t="str">
        <f t="shared" si="28"/>
        <v>2018</v>
      </c>
      <c r="H368" s="30">
        <f t="shared" si="29"/>
        <v>16887.014999999999</v>
      </c>
    </row>
    <row r="369" spans="2:8" x14ac:dyDescent="0.35">
      <c r="B369" s="28" t="s">
        <v>397</v>
      </c>
      <c r="C369" s="26">
        <v>0</v>
      </c>
      <c r="D369" s="35" t="str">
        <f t="shared" si="25"/>
        <v>Partner Sales Tooling 201811</v>
      </c>
      <c r="E369" s="33" t="str">
        <f t="shared" si="26"/>
        <v>Partner Sales Tooling</v>
      </c>
      <c r="F369" s="36" t="str">
        <f t="shared" si="27"/>
        <v>11</v>
      </c>
      <c r="G369" s="36" t="str">
        <f t="shared" si="28"/>
        <v>2018</v>
      </c>
      <c r="H369" s="30">
        <f t="shared" si="29"/>
        <v>0</v>
      </c>
    </row>
    <row r="370" spans="2:8" x14ac:dyDescent="0.35">
      <c r="B370" s="28" t="s">
        <v>398</v>
      </c>
      <c r="C370" s="26">
        <v>-1793.0919999999999</v>
      </c>
      <c r="D370" s="35" t="str">
        <f t="shared" si="25"/>
        <v>Sales - Discounts 201811</v>
      </c>
      <c r="E370" s="33" t="str">
        <f t="shared" si="26"/>
        <v>Sales - Discounts</v>
      </c>
      <c r="F370" s="36" t="str">
        <f t="shared" si="27"/>
        <v>11</v>
      </c>
      <c r="G370" s="36" t="str">
        <f t="shared" si="28"/>
        <v>2018</v>
      </c>
      <c r="H370" s="30">
        <f t="shared" si="29"/>
        <v>-1793.0919999999999</v>
      </c>
    </row>
    <row r="371" spans="2:8" x14ac:dyDescent="0.35">
      <c r="B371" s="28" t="s">
        <v>399</v>
      </c>
      <c r="C371" s="26">
        <v>107.54430000000002</v>
      </c>
      <c r="D371" s="35" t="str">
        <f t="shared" si="25"/>
        <v>Sales - Freight Out 201811</v>
      </c>
      <c r="E371" s="33" t="str">
        <f t="shared" si="26"/>
        <v>Sales - Freight Out</v>
      </c>
      <c r="F371" s="36" t="str">
        <f t="shared" si="27"/>
        <v>11</v>
      </c>
      <c r="G371" s="36" t="str">
        <f t="shared" si="28"/>
        <v>2018</v>
      </c>
      <c r="H371" s="30">
        <f t="shared" si="29"/>
        <v>107.54430000000002</v>
      </c>
    </row>
    <row r="372" spans="2:8" x14ac:dyDescent="0.35">
      <c r="B372" s="28" t="s">
        <v>400</v>
      </c>
      <c r="C372" s="26">
        <v>-9672.3625000000011</v>
      </c>
      <c r="D372" s="35" t="str">
        <f t="shared" si="25"/>
        <v>Sales - Returns 201811</v>
      </c>
      <c r="E372" s="33" t="str">
        <f t="shared" si="26"/>
        <v>Sales - Returns</v>
      </c>
      <c r="F372" s="36" t="str">
        <f t="shared" si="27"/>
        <v>11</v>
      </c>
      <c r="G372" s="36" t="str">
        <f t="shared" si="28"/>
        <v>2018</v>
      </c>
      <c r="H372" s="30">
        <f t="shared" si="29"/>
        <v>-9672.3625000000011</v>
      </c>
    </row>
    <row r="373" spans="2:8" x14ac:dyDescent="0.35">
      <c r="B373" s="28" t="s">
        <v>401</v>
      </c>
      <c r="C373" s="26">
        <v>204786.11009999999</v>
      </c>
      <c r="D373" s="35" t="str">
        <f t="shared" si="25"/>
        <v>Automotive Sales 201812</v>
      </c>
      <c r="E373" s="33" t="str">
        <f t="shared" si="26"/>
        <v>Automotive Sales</v>
      </c>
      <c r="F373" s="36" t="str">
        <f t="shared" si="27"/>
        <v>12</v>
      </c>
      <c r="G373" s="36" t="str">
        <f t="shared" si="28"/>
        <v>2018</v>
      </c>
      <c r="H373" s="30">
        <f t="shared" si="29"/>
        <v>204786.11009999999</v>
      </c>
    </row>
    <row r="374" spans="2:8" x14ac:dyDescent="0.35">
      <c r="B374" s="28" t="s">
        <v>402</v>
      </c>
      <c r="C374" s="26">
        <v>0</v>
      </c>
      <c r="D374" s="35" t="str">
        <f t="shared" si="25"/>
        <v>Automotive Sales Tooling 201812</v>
      </c>
      <c r="E374" s="33" t="str">
        <f t="shared" si="26"/>
        <v>Automotive Sales Tooling</v>
      </c>
      <c r="F374" s="36" t="str">
        <f t="shared" si="27"/>
        <v>12</v>
      </c>
      <c r="G374" s="36" t="str">
        <f t="shared" si="28"/>
        <v>2018</v>
      </c>
      <c r="H374" s="30">
        <f t="shared" si="29"/>
        <v>0</v>
      </c>
    </row>
    <row r="375" spans="2:8" x14ac:dyDescent="0.35">
      <c r="B375" s="28" t="s">
        <v>403</v>
      </c>
      <c r="C375" s="26">
        <v>924832.49680000008</v>
      </c>
      <c r="D375" s="35" t="str">
        <f t="shared" si="25"/>
        <v>Bulk Sales 201812</v>
      </c>
      <c r="E375" s="33" t="str">
        <f t="shared" si="26"/>
        <v>Bulk Sales</v>
      </c>
      <c r="F375" s="36" t="str">
        <f t="shared" si="27"/>
        <v>12</v>
      </c>
      <c r="G375" s="36" t="str">
        <f t="shared" si="28"/>
        <v>2018</v>
      </c>
      <c r="H375" s="30">
        <f t="shared" si="29"/>
        <v>924832.49680000008</v>
      </c>
    </row>
    <row r="376" spans="2:8" x14ac:dyDescent="0.35">
      <c r="B376" s="28" t="s">
        <v>404</v>
      </c>
      <c r="C376" s="26">
        <v>168501.6</v>
      </c>
      <c r="D376" s="35" t="str">
        <f t="shared" si="25"/>
        <v>Bulk Sales Tooling 201812</v>
      </c>
      <c r="E376" s="33" t="str">
        <f t="shared" si="26"/>
        <v>Bulk Sales Tooling</v>
      </c>
      <c r="F376" s="36" t="str">
        <f t="shared" si="27"/>
        <v>12</v>
      </c>
      <c r="G376" s="36" t="str">
        <f t="shared" si="28"/>
        <v>2018</v>
      </c>
      <c r="H376" s="30">
        <f t="shared" si="29"/>
        <v>168501.6</v>
      </c>
    </row>
    <row r="377" spans="2:8" x14ac:dyDescent="0.35">
      <c r="B377" s="28" t="s">
        <v>405</v>
      </c>
      <c r="C377" s="26">
        <v>492990.54799999995</v>
      </c>
      <c r="D377" s="35" t="str">
        <f t="shared" si="25"/>
        <v>Consumer Sales 201812</v>
      </c>
      <c r="E377" s="33" t="str">
        <f t="shared" si="26"/>
        <v>Consumer Sales</v>
      </c>
      <c r="F377" s="36" t="str">
        <f t="shared" si="27"/>
        <v>12</v>
      </c>
      <c r="G377" s="36" t="str">
        <f t="shared" si="28"/>
        <v>2018</v>
      </c>
      <c r="H377" s="30">
        <f t="shared" si="29"/>
        <v>492990.54799999995</v>
      </c>
    </row>
    <row r="378" spans="2:8" x14ac:dyDescent="0.35">
      <c r="B378" s="28" t="s">
        <v>406</v>
      </c>
      <c r="C378" s="26">
        <v>0</v>
      </c>
      <c r="D378" s="35" t="str">
        <f t="shared" si="25"/>
        <v>Consumer Sales Tooling 201812</v>
      </c>
      <c r="E378" s="33" t="str">
        <f t="shared" si="26"/>
        <v>Consumer Sales Tooling</v>
      </c>
      <c r="F378" s="36" t="str">
        <f t="shared" si="27"/>
        <v>12</v>
      </c>
      <c r="G378" s="36" t="str">
        <f t="shared" si="28"/>
        <v>2018</v>
      </c>
      <c r="H378" s="30">
        <f t="shared" si="29"/>
        <v>0</v>
      </c>
    </row>
    <row r="379" spans="2:8" x14ac:dyDescent="0.35">
      <c r="B379" s="28" t="s">
        <v>407</v>
      </c>
      <c r="C379" s="26">
        <v>13147.199999999999</v>
      </c>
      <c r="D379" s="35" t="str">
        <f t="shared" si="25"/>
        <v>Electronics Sales 201812</v>
      </c>
      <c r="E379" s="33" t="str">
        <f t="shared" si="26"/>
        <v>Electronics Sales</v>
      </c>
      <c r="F379" s="36" t="str">
        <f t="shared" si="27"/>
        <v>12</v>
      </c>
      <c r="G379" s="36" t="str">
        <f t="shared" si="28"/>
        <v>2018</v>
      </c>
      <c r="H379" s="30">
        <f t="shared" si="29"/>
        <v>13147.199999999999</v>
      </c>
    </row>
    <row r="380" spans="2:8" x14ac:dyDescent="0.35">
      <c r="B380" s="28" t="s">
        <v>408</v>
      </c>
      <c r="C380" s="26">
        <v>0</v>
      </c>
      <c r="D380" s="35" t="str">
        <f t="shared" si="25"/>
        <v>Electronics Sales Tooling 201812</v>
      </c>
      <c r="E380" s="33" t="str">
        <f t="shared" si="26"/>
        <v>Electronics Sales Tooling</v>
      </c>
      <c r="F380" s="36" t="str">
        <f t="shared" si="27"/>
        <v>12</v>
      </c>
      <c r="G380" s="36" t="str">
        <f t="shared" si="28"/>
        <v>2018</v>
      </c>
      <c r="H380" s="30">
        <f t="shared" si="29"/>
        <v>0</v>
      </c>
    </row>
    <row r="381" spans="2:8" x14ac:dyDescent="0.35">
      <c r="B381" s="28" t="s">
        <v>409</v>
      </c>
      <c r="C381" s="26">
        <v>28875.149999999998</v>
      </c>
      <c r="D381" s="35" t="str">
        <f t="shared" si="25"/>
        <v>Mechanic Sales 201812</v>
      </c>
      <c r="E381" s="33" t="str">
        <f t="shared" si="26"/>
        <v>Mechanic Sales</v>
      </c>
      <c r="F381" s="36" t="str">
        <f t="shared" si="27"/>
        <v>12</v>
      </c>
      <c r="G381" s="36" t="str">
        <f t="shared" si="28"/>
        <v>2018</v>
      </c>
      <c r="H381" s="30">
        <f t="shared" si="29"/>
        <v>28875.149999999998</v>
      </c>
    </row>
    <row r="382" spans="2:8" x14ac:dyDescent="0.35">
      <c r="B382" s="28" t="s">
        <v>410</v>
      </c>
      <c r="C382" s="26">
        <v>11711.46</v>
      </c>
      <c r="D382" s="35" t="str">
        <f t="shared" si="25"/>
        <v>Mechanic Sales Tooling 201812</v>
      </c>
      <c r="E382" s="33" t="str">
        <f t="shared" si="26"/>
        <v>Mechanic Sales Tooling</v>
      </c>
      <c r="F382" s="36" t="str">
        <f t="shared" si="27"/>
        <v>12</v>
      </c>
      <c r="G382" s="36" t="str">
        <f t="shared" si="28"/>
        <v>2018</v>
      </c>
      <c r="H382" s="30">
        <f t="shared" si="29"/>
        <v>11711.46</v>
      </c>
    </row>
    <row r="383" spans="2:8" x14ac:dyDescent="0.35">
      <c r="B383" s="28" t="s">
        <v>411</v>
      </c>
      <c r="C383" s="26">
        <v>0</v>
      </c>
      <c r="D383" s="35" t="str">
        <f t="shared" si="25"/>
        <v>Non Operating sales201812</v>
      </c>
      <c r="E383" s="33" t="str">
        <f t="shared" si="26"/>
        <v>Non Operating sale</v>
      </c>
      <c r="F383" s="36" t="str">
        <f t="shared" si="27"/>
        <v>12</v>
      </c>
      <c r="G383" s="36" t="str">
        <f t="shared" si="28"/>
        <v>2018</v>
      </c>
      <c r="H383" s="30">
        <f t="shared" si="29"/>
        <v>0</v>
      </c>
    </row>
    <row r="384" spans="2:8" x14ac:dyDescent="0.35">
      <c r="B384" s="28" t="s">
        <v>412</v>
      </c>
      <c r="C384" s="26">
        <v>102819.74099999999</v>
      </c>
      <c r="D384" s="35" t="str">
        <f t="shared" si="25"/>
        <v>Partner Sales 201812</v>
      </c>
      <c r="E384" s="33" t="str">
        <f t="shared" si="26"/>
        <v>Partner Sales</v>
      </c>
      <c r="F384" s="36" t="str">
        <f t="shared" si="27"/>
        <v>12</v>
      </c>
      <c r="G384" s="36" t="str">
        <f t="shared" si="28"/>
        <v>2018</v>
      </c>
      <c r="H384" s="30">
        <f t="shared" si="29"/>
        <v>102819.74099999999</v>
      </c>
    </row>
    <row r="385" spans="2:8" x14ac:dyDescent="0.35">
      <c r="B385" s="28" t="s">
        <v>413</v>
      </c>
      <c r="C385" s="26">
        <v>89977.5</v>
      </c>
      <c r="D385" s="35" t="str">
        <f t="shared" si="25"/>
        <v>Partner Sales Tooling 201812</v>
      </c>
      <c r="E385" s="33" t="str">
        <f t="shared" si="26"/>
        <v>Partner Sales Tooling</v>
      </c>
      <c r="F385" s="36" t="str">
        <f t="shared" si="27"/>
        <v>12</v>
      </c>
      <c r="G385" s="36" t="str">
        <f t="shared" si="28"/>
        <v>2018</v>
      </c>
      <c r="H385" s="30">
        <f t="shared" si="29"/>
        <v>89977.5</v>
      </c>
    </row>
    <row r="386" spans="2:8" x14ac:dyDescent="0.35">
      <c r="B386" s="28" t="s">
        <v>414</v>
      </c>
      <c r="C386" s="26">
        <v>2440.6339999999996</v>
      </c>
      <c r="D386" s="35" t="str">
        <f t="shared" si="25"/>
        <v>Sales - Discounts 201812</v>
      </c>
      <c r="E386" s="33" t="str">
        <f t="shared" si="26"/>
        <v>Sales - Discounts</v>
      </c>
      <c r="F386" s="36" t="str">
        <f t="shared" si="27"/>
        <v>12</v>
      </c>
      <c r="G386" s="36" t="str">
        <f t="shared" si="28"/>
        <v>2018</v>
      </c>
      <c r="H386" s="30">
        <f t="shared" si="29"/>
        <v>2440.6339999999996</v>
      </c>
    </row>
    <row r="387" spans="2:8" x14ac:dyDescent="0.35">
      <c r="B387" s="28" t="s">
        <v>415</v>
      </c>
      <c r="C387" s="26">
        <v>137.92970000000003</v>
      </c>
      <c r="D387" s="35" t="str">
        <f t="shared" si="25"/>
        <v>Sales - Freight Out 201812</v>
      </c>
      <c r="E387" s="33" t="str">
        <f t="shared" si="26"/>
        <v>Sales - Freight Out</v>
      </c>
      <c r="F387" s="36" t="str">
        <f t="shared" si="27"/>
        <v>12</v>
      </c>
      <c r="G387" s="36" t="str">
        <f t="shared" si="28"/>
        <v>2018</v>
      </c>
      <c r="H387" s="30">
        <f t="shared" si="29"/>
        <v>137.92970000000003</v>
      </c>
    </row>
    <row r="388" spans="2:8" x14ac:dyDescent="0.35">
      <c r="B388" s="28" t="s">
        <v>416</v>
      </c>
      <c r="C388" s="26">
        <v>-12637.5</v>
      </c>
      <c r="D388" s="35" t="str">
        <f t="shared" si="25"/>
        <v>Sales - Returns 201812</v>
      </c>
      <c r="E388" s="33" t="str">
        <f t="shared" si="26"/>
        <v>Sales - Returns</v>
      </c>
      <c r="F388" s="36" t="str">
        <f t="shared" si="27"/>
        <v>12</v>
      </c>
      <c r="G388" s="36" t="str">
        <f t="shared" si="28"/>
        <v>2018</v>
      </c>
      <c r="H388" s="30">
        <f t="shared" si="29"/>
        <v>-12637.5</v>
      </c>
    </row>
    <row r="389" spans="2:8" x14ac:dyDescent="0.35">
      <c r="B389" s="28" t="s">
        <v>417</v>
      </c>
      <c r="C389" s="26">
        <v>639781.64249999996</v>
      </c>
      <c r="D389" s="35" t="str">
        <f t="shared" si="25"/>
        <v>Automotive Sales 201701</v>
      </c>
      <c r="E389" s="33" t="str">
        <f t="shared" si="26"/>
        <v>Automotive Sales</v>
      </c>
      <c r="F389" s="36" t="str">
        <f t="shared" si="27"/>
        <v>01</v>
      </c>
      <c r="G389" s="36" t="str">
        <f t="shared" si="28"/>
        <v>2017</v>
      </c>
      <c r="H389" s="30">
        <f t="shared" si="29"/>
        <v>639781.64249999996</v>
      </c>
    </row>
    <row r="390" spans="2:8" x14ac:dyDescent="0.35">
      <c r="B390" s="28" t="s">
        <v>418</v>
      </c>
      <c r="C390" s="26">
        <v>4662.6432000000004</v>
      </c>
      <c r="D390" s="35" t="str">
        <f t="shared" ref="D390:D453" si="30">TRIM(B390)</f>
        <v>Automotive Sales Tooling 201701</v>
      </c>
      <c r="E390" s="33" t="str">
        <f t="shared" ref="E390:E453" si="31">LEFT(D390,LEN(D390)-7)</f>
        <v>Automotive Sales Tooling</v>
      </c>
      <c r="F390" s="36" t="str">
        <f t="shared" ref="F390:F453" si="32">RIGHT(D390,2)</f>
        <v>01</v>
      </c>
      <c r="G390" s="36" t="str">
        <f t="shared" ref="G390:G453" si="33">RIGHT(LEFT(D390,LEN(D390)-2),4)</f>
        <v>2017</v>
      </c>
      <c r="H390" s="30">
        <f t="shared" ref="H390:H453" si="34">C390</f>
        <v>4662.6432000000004</v>
      </c>
    </row>
    <row r="391" spans="2:8" x14ac:dyDescent="0.35">
      <c r="B391" s="28" t="s">
        <v>419</v>
      </c>
      <c r="C391" s="26">
        <v>677494.70140000002</v>
      </c>
      <c r="D391" s="35" t="str">
        <f t="shared" si="30"/>
        <v>Bulk Sales 201701</v>
      </c>
      <c r="E391" s="33" t="str">
        <f t="shared" si="31"/>
        <v>Bulk Sales</v>
      </c>
      <c r="F391" s="36" t="str">
        <f t="shared" si="32"/>
        <v>01</v>
      </c>
      <c r="G391" s="36" t="str">
        <f t="shared" si="33"/>
        <v>2017</v>
      </c>
      <c r="H391" s="30">
        <f t="shared" si="34"/>
        <v>677494.70140000002</v>
      </c>
    </row>
    <row r="392" spans="2:8" x14ac:dyDescent="0.35">
      <c r="B392" s="28" t="s">
        <v>420</v>
      </c>
      <c r="C392" s="26">
        <v>7200</v>
      </c>
      <c r="D392" s="35" t="str">
        <f t="shared" si="30"/>
        <v>Bulk Sales Tooling 201701</v>
      </c>
      <c r="E392" s="33" t="str">
        <f t="shared" si="31"/>
        <v>Bulk Sales Tooling</v>
      </c>
      <c r="F392" s="36" t="str">
        <f t="shared" si="32"/>
        <v>01</v>
      </c>
      <c r="G392" s="36" t="str">
        <f t="shared" si="33"/>
        <v>2017</v>
      </c>
      <c r="H392" s="30">
        <f t="shared" si="34"/>
        <v>7200</v>
      </c>
    </row>
    <row r="393" spans="2:8" x14ac:dyDescent="0.35">
      <c r="B393" s="28" t="s">
        <v>421</v>
      </c>
      <c r="C393" s="26">
        <v>453225.39919999993</v>
      </c>
      <c r="D393" s="35" t="str">
        <f t="shared" si="30"/>
        <v>Consumer Sales 201701</v>
      </c>
      <c r="E393" s="33" t="str">
        <f t="shared" si="31"/>
        <v>Consumer Sales</v>
      </c>
      <c r="F393" s="36" t="str">
        <f t="shared" si="32"/>
        <v>01</v>
      </c>
      <c r="G393" s="36" t="str">
        <f t="shared" si="33"/>
        <v>2017</v>
      </c>
      <c r="H393" s="30">
        <f t="shared" si="34"/>
        <v>453225.39919999993</v>
      </c>
    </row>
    <row r="394" spans="2:8" x14ac:dyDescent="0.35">
      <c r="B394" s="28" t="s">
        <v>422</v>
      </c>
      <c r="C394" s="26">
        <v>96415.2</v>
      </c>
      <c r="D394" s="35" t="str">
        <f t="shared" si="30"/>
        <v>Consumer Sales Tooling 201701</v>
      </c>
      <c r="E394" s="33" t="str">
        <f t="shared" si="31"/>
        <v>Consumer Sales Tooling</v>
      </c>
      <c r="F394" s="36" t="str">
        <f t="shared" si="32"/>
        <v>01</v>
      </c>
      <c r="G394" s="36" t="str">
        <f t="shared" si="33"/>
        <v>2017</v>
      </c>
      <c r="H394" s="30">
        <f t="shared" si="34"/>
        <v>96415.2</v>
      </c>
    </row>
    <row r="395" spans="2:8" x14ac:dyDescent="0.35">
      <c r="B395" s="28" t="s">
        <v>423</v>
      </c>
      <c r="C395" s="26">
        <v>53991.705599999994</v>
      </c>
      <c r="D395" s="35" t="str">
        <f t="shared" si="30"/>
        <v>Electronics Sales 201701</v>
      </c>
      <c r="E395" s="33" t="str">
        <f t="shared" si="31"/>
        <v>Electronics Sales</v>
      </c>
      <c r="F395" s="36" t="str">
        <f t="shared" si="32"/>
        <v>01</v>
      </c>
      <c r="G395" s="36" t="str">
        <f t="shared" si="33"/>
        <v>2017</v>
      </c>
      <c r="H395" s="30">
        <f t="shared" si="34"/>
        <v>53991.705599999994</v>
      </c>
    </row>
    <row r="396" spans="2:8" x14ac:dyDescent="0.35">
      <c r="B396" s="28" t="s">
        <v>424</v>
      </c>
      <c r="C396" s="26">
        <v>14211.999999999998</v>
      </c>
      <c r="D396" s="35" t="str">
        <f t="shared" si="30"/>
        <v>Electronics Sales Tooling 201701</v>
      </c>
      <c r="E396" s="33" t="str">
        <f t="shared" si="31"/>
        <v>Electronics Sales Tooling</v>
      </c>
      <c r="F396" s="36" t="str">
        <f t="shared" si="32"/>
        <v>01</v>
      </c>
      <c r="G396" s="36" t="str">
        <f t="shared" si="33"/>
        <v>2017</v>
      </c>
      <c r="H396" s="30">
        <f t="shared" si="34"/>
        <v>14211.999999999998</v>
      </c>
    </row>
    <row r="397" spans="2:8" x14ac:dyDescent="0.35">
      <c r="B397" s="28" t="s">
        <v>425</v>
      </c>
      <c r="C397" s="26">
        <v>0</v>
      </c>
      <c r="D397" s="35" t="str">
        <f t="shared" si="30"/>
        <v>Mechanic Sales 201701</v>
      </c>
      <c r="E397" s="33" t="str">
        <f t="shared" si="31"/>
        <v>Mechanic Sales</v>
      </c>
      <c r="F397" s="36" t="str">
        <f t="shared" si="32"/>
        <v>01</v>
      </c>
      <c r="G397" s="36" t="str">
        <f t="shared" si="33"/>
        <v>2017</v>
      </c>
      <c r="H397" s="30">
        <f t="shared" si="34"/>
        <v>0</v>
      </c>
    </row>
    <row r="398" spans="2:8" x14ac:dyDescent="0.35">
      <c r="B398" s="28" t="s">
        <v>426</v>
      </c>
      <c r="C398" s="26">
        <v>4230</v>
      </c>
      <c r="D398" s="35" t="str">
        <f t="shared" si="30"/>
        <v>Mechanic Sales Tooling 201701</v>
      </c>
      <c r="E398" s="33" t="str">
        <f t="shared" si="31"/>
        <v>Mechanic Sales Tooling</v>
      </c>
      <c r="F398" s="36" t="str">
        <f t="shared" si="32"/>
        <v>01</v>
      </c>
      <c r="G398" s="36" t="str">
        <f t="shared" si="33"/>
        <v>2017</v>
      </c>
      <c r="H398" s="30">
        <f t="shared" si="34"/>
        <v>4230</v>
      </c>
    </row>
    <row r="399" spans="2:8" x14ac:dyDescent="0.35">
      <c r="B399" s="28" t="s">
        <v>427</v>
      </c>
      <c r="C399" s="26">
        <v>0</v>
      </c>
      <c r="D399" s="35" t="str">
        <f t="shared" si="30"/>
        <v>Non Operating sales201701</v>
      </c>
      <c r="E399" s="33" t="str">
        <f t="shared" si="31"/>
        <v>Non Operating sale</v>
      </c>
      <c r="F399" s="36" t="str">
        <f t="shared" si="32"/>
        <v>01</v>
      </c>
      <c r="G399" s="36" t="str">
        <f t="shared" si="33"/>
        <v>2017</v>
      </c>
      <c r="H399" s="30">
        <f t="shared" si="34"/>
        <v>0</v>
      </c>
    </row>
    <row r="400" spans="2:8" x14ac:dyDescent="0.35">
      <c r="B400" s="28" t="s">
        <v>428</v>
      </c>
      <c r="C400" s="26">
        <v>295933.4792</v>
      </c>
      <c r="D400" s="35" t="str">
        <f t="shared" si="30"/>
        <v>Partner Sales 201701</v>
      </c>
      <c r="E400" s="33" t="str">
        <f t="shared" si="31"/>
        <v>Partner Sales</v>
      </c>
      <c r="F400" s="36" t="str">
        <f t="shared" si="32"/>
        <v>01</v>
      </c>
      <c r="G400" s="36" t="str">
        <f t="shared" si="33"/>
        <v>2017</v>
      </c>
      <c r="H400" s="30">
        <f t="shared" si="34"/>
        <v>295933.4792</v>
      </c>
    </row>
    <row r="401" spans="2:8" x14ac:dyDescent="0.35">
      <c r="B401" s="28" t="s">
        <v>429</v>
      </c>
      <c r="C401" s="26">
        <v>9560.7533999999978</v>
      </c>
      <c r="D401" s="35" t="str">
        <f t="shared" si="30"/>
        <v>Partner Sales Tooling 201701</v>
      </c>
      <c r="E401" s="33" t="str">
        <f t="shared" si="31"/>
        <v>Partner Sales Tooling</v>
      </c>
      <c r="F401" s="36" t="str">
        <f t="shared" si="32"/>
        <v>01</v>
      </c>
      <c r="G401" s="36" t="str">
        <f t="shared" si="33"/>
        <v>2017</v>
      </c>
      <c r="H401" s="30">
        <f t="shared" si="34"/>
        <v>9560.7533999999978</v>
      </c>
    </row>
    <row r="402" spans="2:8" x14ac:dyDescent="0.35">
      <c r="B402" s="28" t="s">
        <v>430</v>
      </c>
      <c r="C402" s="26">
        <v>-3916.2059999999997</v>
      </c>
      <c r="D402" s="35" t="str">
        <f t="shared" si="30"/>
        <v>Sales - Discounts 201701</v>
      </c>
      <c r="E402" s="33" t="str">
        <f t="shared" si="31"/>
        <v>Sales - Discounts</v>
      </c>
      <c r="F402" s="36" t="str">
        <f t="shared" si="32"/>
        <v>01</v>
      </c>
      <c r="G402" s="36" t="str">
        <f t="shared" si="33"/>
        <v>2017</v>
      </c>
      <c r="H402" s="30">
        <f t="shared" si="34"/>
        <v>-3916.2059999999997</v>
      </c>
    </row>
    <row r="403" spans="2:8" x14ac:dyDescent="0.35">
      <c r="B403" s="28" t="s">
        <v>431</v>
      </c>
      <c r="C403" s="26">
        <v>446.81550000000004</v>
      </c>
      <c r="D403" s="35" t="str">
        <f t="shared" si="30"/>
        <v>Sales - Freight Out 201701</v>
      </c>
      <c r="E403" s="33" t="str">
        <f t="shared" si="31"/>
        <v>Sales - Freight Out</v>
      </c>
      <c r="F403" s="36" t="str">
        <f t="shared" si="32"/>
        <v>01</v>
      </c>
      <c r="G403" s="36" t="str">
        <f t="shared" si="33"/>
        <v>2017</v>
      </c>
      <c r="H403" s="30">
        <f t="shared" si="34"/>
        <v>446.81550000000004</v>
      </c>
    </row>
    <row r="404" spans="2:8" x14ac:dyDescent="0.35">
      <c r="B404" s="28" t="s">
        <v>432</v>
      </c>
      <c r="C404" s="26">
        <v>-18431.787499999999</v>
      </c>
      <c r="D404" s="35" t="str">
        <f t="shared" si="30"/>
        <v>Sales - Returns 201701</v>
      </c>
      <c r="E404" s="33" t="str">
        <f t="shared" si="31"/>
        <v>Sales - Returns</v>
      </c>
      <c r="F404" s="36" t="str">
        <f t="shared" si="32"/>
        <v>01</v>
      </c>
      <c r="G404" s="36" t="str">
        <f t="shared" si="33"/>
        <v>2017</v>
      </c>
      <c r="H404" s="30">
        <f t="shared" si="34"/>
        <v>-18431.787499999999</v>
      </c>
    </row>
    <row r="405" spans="2:8" x14ac:dyDescent="0.35">
      <c r="B405" s="28" t="s">
        <v>433</v>
      </c>
      <c r="C405" s="26">
        <v>461717.8566</v>
      </c>
      <c r="D405" s="35" t="str">
        <f t="shared" si="30"/>
        <v>Automotive Sales 201702</v>
      </c>
      <c r="E405" s="33" t="str">
        <f t="shared" si="31"/>
        <v>Automotive Sales</v>
      </c>
      <c r="F405" s="36" t="str">
        <f t="shared" si="32"/>
        <v>02</v>
      </c>
      <c r="G405" s="36" t="str">
        <f t="shared" si="33"/>
        <v>2017</v>
      </c>
      <c r="H405" s="30">
        <f t="shared" si="34"/>
        <v>461717.8566</v>
      </c>
    </row>
    <row r="406" spans="2:8" x14ac:dyDescent="0.35">
      <c r="B406" s="28" t="s">
        <v>434</v>
      </c>
      <c r="C406" s="26">
        <v>93216.251600000003</v>
      </c>
      <c r="D406" s="35" t="str">
        <f t="shared" si="30"/>
        <v>Automotive Sales Tooling 201702</v>
      </c>
      <c r="E406" s="33" t="str">
        <f t="shared" si="31"/>
        <v>Automotive Sales Tooling</v>
      </c>
      <c r="F406" s="36" t="str">
        <f t="shared" si="32"/>
        <v>02</v>
      </c>
      <c r="G406" s="36" t="str">
        <f t="shared" si="33"/>
        <v>2017</v>
      </c>
      <c r="H406" s="30">
        <f t="shared" si="34"/>
        <v>93216.251600000003</v>
      </c>
    </row>
    <row r="407" spans="2:8" x14ac:dyDescent="0.35">
      <c r="B407" s="28" t="s">
        <v>435</v>
      </c>
      <c r="C407" s="26">
        <v>591977.73140000005</v>
      </c>
      <c r="D407" s="35" t="str">
        <f t="shared" si="30"/>
        <v>Bulk Sales 201702</v>
      </c>
      <c r="E407" s="33" t="str">
        <f t="shared" si="31"/>
        <v>Bulk Sales</v>
      </c>
      <c r="F407" s="36" t="str">
        <f t="shared" si="32"/>
        <v>02</v>
      </c>
      <c r="G407" s="36" t="str">
        <f t="shared" si="33"/>
        <v>2017</v>
      </c>
      <c r="H407" s="30">
        <f t="shared" si="34"/>
        <v>591977.73140000005</v>
      </c>
    </row>
    <row r="408" spans="2:8" x14ac:dyDescent="0.35">
      <c r="B408" s="28" t="s">
        <v>436</v>
      </c>
      <c r="C408" s="26">
        <v>100749.59999999999</v>
      </c>
      <c r="D408" s="35" t="str">
        <f t="shared" si="30"/>
        <v>Bulk Sales Tooling 201702</v>
      </c>
      <c r="E408" s="33" t="str">
        <f t="shared" si="31"/>
        <v>Bulk Sales Tooling</v>
      </c>
      <c r="F408" s="36" t="str">
        <f t="shared" si="32"/>
        <v>02</v>
      </c>
      <c r="G408" s="36" t="str">
        <f t="shared" si="33"/>
        <v>2017</v>
      </c>
      <c r="H408" s="30">
        <f t="shared" si="34"/>
        <v>100749.59999999999</v>
      </c>
    </row>
    <row r="409" spans="2:8" x14ac:dyDescent="0.35">
      <c r="B409" s="28" t="s">
        <v>437</v>
      </c>
      <c r="C409" s="26">
        <v>318911.2144</v>
      </c>
      <c r="D409" s="35" t="str">
        <f t="shared" si="30"/>
        <v>Consumer Sales 201702</v>
      </c>
      <c r="E409" s="33" t="str">
        <f t="shared" si="31"/>
        <v>Consumer Sales</v>
      </c>
      <c r="F409" s="36" t="str">
        <f t="shared" si="32"/>
        <v>02</v>
      </c>
      <c r="G409" s="36" t="str">
        <f t="shared" si="33"/>
        <v>2017</v>
      </c>
      <c r="H409" s="30">
        <f t="shared" si="34"/>
        <v>318911.2144</v>
      </c>
    </row>
    <row r="410" spans="2:8" x14ac:dyDescent="0.35">
      <c r="B410" s="28" t="s">
        <v>438</v>
      </c>
      <c r="C410" s="26">
        <v>4726.2239999999993</v>
      </c>
      <c r="D410" s="35" t="str">
        <f t="shared" si="30"/>
        <v>Consumer Sales Tooling 201702</v>
      </c>
      <c r="E410" s="33" t="str">
        <f t="shared" si="31"/>
        <v>Consumer Sales Tooling</v>
      </c>
      <c r="F410" s="36" t="str">
        <f t="shared" si="32"/>
        <v>02</v>
      </c>
      <c r="G410" s="36" t="str">
        <f t="shared" si="33"/>
        <v>2017</v>
      </c>
      <c r="H410" s="30">
        <f t="shared" si="34"/>
        <v>4726.2239999999993</v>
      </c>
    </row>
    <row r="411" spans="2:8" x14ac:dyDescent="0.35">
      <c r="B411" s="28" t="s">
        <v>439</v>
      </c>
      <c r="C411" s="26">
        <v>5018.2560000000003</v>
      </c>
      <c r="D411" s="35" t="str">
        <f t="shared" si="30"/>
        <v>Electronics Sales 201702</v>
      </c>
      <c r="E411" s="33" t="str">
        <f t="shared" si="31"/>
        <v>Electronics Sales</v>
      </c>
      <c r="F411" s="36" t="str">
        <f t="shared" si="32"/>
        <v>02</v>
      </c>
      <c r="G411" s="36" t="str">
        <f t="shared" si="33"/>
        <v>2017</v>
      </c>
      <c r="H411" s="30">
        <f t="shared" si="34"/>
        <v>5018.2560000000003</v>
      </c>
    </row>
    <row r="412" spans="2:8" x14ac:dyDescent="0.35">
      <c r="B412" s="28" t="s">
        <v>440</v>
      </c>
      <c r="C412" s="26">
        <v>0</v>
      </c>
      <c r="D412" s="35" t="str">
        <f t="shared" si="30"/>
        <v>Electronics Sales Tooling 201702</v>
      </c>
      <c r="E412" s="33" t="str">
        <f t="shared" si="31"/>
        <v>Electronics Sales Tooling</v>
      </c>
      <c r="F412" s="36" t="str">
        <f t="shared" si="32"/>
        <v>02</v>
      </c>
      <c r="G412" s="36" t="str">
        <f t="shared" si="33"/>
        <v>2017</v>
      </c>
      <c r="H412" s="30">
        <f t="shared" si="34"/>
        <v>0</v>
      </c>
    </row>
    <row r="413" spans="2:8" x14ac:dyDescent="0.35">
      <c r="B413" s="28" t="s">
        <v>441</v>
      </c>
      <c r="C413" s="26">
        <v>18326.88</v>
      </c>
      <c r="D413" s="35" t="str">
        <f t="shared" si="30"/>
        <v>Mechanic Sales 201702</v>
      </c>
      <c r="E413" s="33" t="str">
        <f t="shared" si="31"/>
        <v>Mechanic Sales</v>
      </c>
      <c r="F413" s="36" t="str">
        <f t="shared" si="32"/>
        <v>02</v>
      </c>
      <c r="G413" s="36" t="str">
        <f t="shared" si="33"/>
        <v>2017</v>
      </c>
      <c r="H413" s="30">
        <f t="shared" si="34"/>
        <v>18326.88</v>
      </c>
    </row>
    <row r="414" spans="2:8" x14ac:dyDescent="0.35">
      <c r="B414" s="28" t="s">
        <v>442</v>
      </c>
      <c r="C414" s="26">
        <v>0</v>
      </c>
      <c r="D414" s="35" t="str">
        <f t="shared" si="30"/>
        <v>Mechanic Sales Tooling 201702</v>
      </c>
      <c r="E414" s="33" t="str">
        <f t="shared" si="31"/>
        <v>Mechanic Sales Tooling</v>
      </c>
      <c r="F414" s="36" t="str">
        <f t="shared" si="32"/>
        <v>02</v>
      </c>
      <c r="G414" s="36" t="str">
        <f t="shared" si="33"/>
        <v>2017</v>
      </c>
      <c r="H414" s="30">
        <f t="shared" si="34"/>
        <v>0</v>
      </c>
    </row>
    <row r="415" spans="2:8" x14ac:dyDescent="0.35">
      <c r="B415" s="28" t="s">
        <v>443</v>
      </c>
      <c r="C415" s="26">
        <v>0</v>
      </c>
      <c r="D415" s="35" t="str">
        <f t="shared" si="30"/>
        <v>Non Operating sales201702</v>
      </c>
      <c r="E415" s="33" t="str">
        <f t="shared" si="31"/>
        <v>Non Operating sale</v>
      </c>
      <c r="F415" s="36" t="str">
        <f t="shared" si="32"/>
        <v>02</v>
      </c>
      <c r="G415" s="36" t="str">
        <f t="shared" si="33"/>
        <v>2017</v>
      </c>
      <c r="H415" s="30">
        <f t="shared" si="34"/>
        <v>0</v>
      </c>
    </row>
    <row r="416" spans="2:8" x14ac:dyDescent="0.35">
      <c r="B416" s="28" t="s">
        <v>444</v>
      </c>
      <c r="C416" s="26">
        <v>185493.07780000003</v>
      </c>
      <c r="D416" s="35" t="str">
        <f t="shared" si="30"/>
        <v>Partner Sales 201702</v>
      </c>
      <c r="E416" s="33" t="str">
        <f t="shared" si="31"/>
        <v>Partner Sales</v>
      </c>
      <c r="F416" s="36" t="str">
        <f t="shared" si="32"/>
        <v>02</v>
      </c>
      <c r="G416" s="36" t="str">
        <f t="shared" si="33"/>
        <v>2017</v>
      </c>
      <c r="H416" s="30">
        <f t="shared" si="34"/>
        <v>185493.07780000003</v>
      </c>
    </row>
    <row r="417" spans="2:8" x14ac:dyDescent="0.35">
      <c r="B417" s="28" t="s">
        <v>445</v>
      </c>
      <c r="C417" s="26">
        <v>-766.82219999999995</v>
      </c>
      <c r="D417" s="35" t="str">
        <f t="shared" si="30"/>
        <v>Partner Sales Tooling 201702</v>
      </c>
      <c r="E417" s="33" t="str">
        <f t="shared" si="31"/>
        <v>Partner Sales Tooling</v>
      </c>
      <c r="F417" s="36" t="str">
        <f t="shared" si="32"/>
        <v>02</v>
      </c>
      <c r="G417" s="36" t="str">
        <f t="shared" si="33"/>
        <v>2017</v>
      </c>
      <c r="H417" s="30">
        <f t="shared" si="34"/>
        <v>-766.82219999999995</v>
      </c>
    </row>
    <row r="418" spans="2:8" x14ac:dyDescent="0.35">
      <c r="B418" s="28" t="s">
        <v>446</v>
      </c>
      <c r="C418" s="26">
        <v>-2057.902</v>
      </c>
      <c r="D418" s="35" t="str">
        <f t="shared" si="30"/>
        <v>Sales - Discounts 201702</v>
      </c>
      <c r="E418" s="33" t="str">
        <f t="shared" si="31"/>
        <v>Sales - Discounts</v>
      </c>
      <c r="F418" s="36" t="str">
        <f t="shared" si="32"/>
        <v>02</v>
      </c>
      <c r="G418" s="36" t="str">
        <f t="shared" si="33"/>
        <v>2017</v>
      </c>
      <c r="H418" s="30">
        <f t="shared" si="34"/>
        <v>-2057.902</v>
      </c>
    </row>
    <row r="419" spans="2:8" x14ac:dyDescent="0.35">
      <c r="B419" s="28" t="s">
        <v>447</v>
      </c>
      <c r="C419" s="26">
        <v>91.281300000000016</v>
      </c>
      <c r="D419" s="35" t="str">
        <f t="shared" si="30"/>
        <v>Sales - Freight Out 201702</v>
      </c>
      <c r="E419" s="33" t="str">
        <f t="shared" si="31"/>
        <v>Sales - Freight Out</v>
      </c>
      <c r="F419" s="36" t="str">
        <f t="shared" si="32"/>
        <v>02</v>
      </c>
      <c r="G419" s="36" t="str">
        <f t="shared" si="33"/>
        <v>2017</v>
      </c>
      <c r="H419" s="30">
        <f t="shared" si="34"/>
        <v>91.281300000000016</v>
      </c>
    </row>
    <row r="420" spans="2:8" x14ac:dyDescent="0.35">
      <c r="B420" s="28" t="s">
        <v>448</v>
      </c>
      <c r="C420" s="26">
        <v>-9963.7625000000007</v>
      </c>
      <c r="D420" s="35" t="str">
        <f t="shared" si="30"/>
        <v>Sales - Returns 201702</v>
      </c>
      <c r="E420" s="33" t="str">
        <f t="shared" si="31"/>
        <v>Sales - Returns</v>
      </c>
      <c r="F420" s="36" t="str">
        <f t="shared" si="32"/>
        <v>02</v>
      </c>
      <c r="G420" s="36" t="str">
        <f t="shared" si="33"/>
        <v>2017</v>
      </c>
      <c r="H420" s="30">
        <f t="shared" si="34"/>
        <v>-9963.7625000000007</v>
      </c>
    </row>
    <row r="421" spans="2:8" x14ac:dyDescent="0.35">
      <c r="B421" s="28" t="s">
        <v>449</v>
      </c>
      <c r="C421" s="26">
        <v>483159.07639999996</v>
      </c>
      <c r="D421" s="35" t="str">
        <f t="shared" si="30"/>
        <v>Automotive Sales 201703</v>
      </c>
      <c r="E421" s="33" t="str">
        <f t="shared" si="31"/>
        <v>Automotive Sales</v>
      </c>
      <c r="F421" s="36" t="str">
        <f t="shared" si="32"/>
        <v>03</v>
      </c>
      <c r="G421" s="36" t="str">
        <f t="shared" si="33"/>
        <v>2017</v>
      </c>
      <c r="H421" s="30">
        <f t="shared" si="34"/>
        <v>483159.07639999996</v>
      </c>
    </row>
    <row r="422" spans="2:8" x14ac:dyDescent="0.35">
      <c r="B422" s="28" t="s">
        <v>450</v>
      </c>
      <c r="C422" s="26">
        <v>2899.9268000000002</v>
      </c>
      <c r="D422" s="35" t="str">
        <f t="shared" si="30"/>
        <v>Automotive Sales Tooling 201703</v>
      </c>
      <c r="E422" s="33" t="str">
        <f t="shared" si="31"/>
        <v>Automotive Sales Tooling</v>
      </c>
      <c r="F422" s="36" t="str">
        <f t="shared" si="32"/>
        <v>03</v>
      </c>
      <c r="G422" s="36" t="str">
        <f t="shared" si="33"/>
        <v>2017</v>
      </c>
      <c r="H422" s="30">
        <f t="shared" si="34"/>
        <v>2899.9268000000002</v>
      </c>
    </row>
    <row r="423" spans="2:8" x14ac:dyDescent="0.35">
      <c r="B423" s="28" t="s">
        <v>451</v>
      </c>
      <c r="C423" s="26">
        <v>835060.34759999998</v>
      </c>
      <c r="D423" s="35" t="str">
        <f t="shared" si="30"/>
        <v>Bulk Sales 201703</v>
      </c>
      <c r="E423" s="33" t="str">
        <f t="shared" si="31"/>
        <v>Bulk Sales</v>
      </c>
      <c r="F423" s="36" t="str">
        <f t="shared" si="32"/>
        <v>03</v>
      </c>
      <c r="G423" s="36" t="str">
        <f t="shared" si="33"/>
        <v>2017</v>
      </c>
      <c r="H423" s="30">
        <f t="shared" si="34"/>
        <v>835060.34759999998</v>
      </c>
    </row>
    <row r="424" spans="2:8" x14ac:dyDescent="0.35">
      <c r="B424" s="28" t="s">
        <v>452</v>
      </c>
      <c r="C424" s="26">
        <v>58068</v>
      </c>
      <c r="D424" s="35" t="str">
        <f t="shared" si="30"/>
        <v>Bulk Sales Tooling 201703</v>
      </c>
      <c r="E424" s="33" t="str">
        <f t="shared" si="31"/>
        <v>Bulk Sales Tooling</v>
      </c>
      <c r="F424" s="36" t="str">
        <f t="shared" si="32"/>
        <v>03</v>
      </c>
      <c r="G424" s="36" t="str">
        <f t="shared" si="33"/>
        <v>2017</v>
      </c>
      <c r="H424" s="30">
        <f t="shared" si="34"/>
        <v>58068</v>
      </c>
    </row>
    <row r="425" spans="2:8" x14ac:dyDescent="0.35">
      <c r="B425" s="28" t="s">
        <v>453</v>
      </c>
      <c r="C425" s="26">
        <v>460269.35599999991</v>
      </c>
      <c r="D425" s="35" t="str">
        <f t="shared" si="30"/>
        <v>Consumer Sales 201703</v>
      </c>
      <c r="E425" s="33" t="str">
        <f t="shared" si="31"/>
        <v>Consumer Sales</v>
      </c>
      <c r="F425" s="36" t="str">
        <f t="shared" si="32"/>
        <v>03</v>
      </c>
      <c r="G425" s="36" t="str">
        <f t="shared" si="33"/>
        <v>2017</v>
      </c>
      <c r="H425" s="30">
        <f t="shared" si="34"/>
        <v>460269.35599999991</v>
      </c>
    </row>
    <row r="426" spans="2:8" x14ac:dyDescent="0.35">
      <c r="B426" s="28" t="s">
        <v>454</v>
      </c>
      <c r="C426" s="26">
        <v>109225.77119999999</v>
      </c>
      <c r="D426" s="35" t="str">
        <f t="shared" si="30"/>
        <v>Consumer Sales Tooling 201703</v>
      </c>
      <c r="E426" s="33" t="str">
        <f t="shared" si="31"/>
        <v>Consumer Sales Tooling</v>
      </c>
      <c r="F426" s="36" t="str">
        <f t="shared" si="32"/>
        <v>03</v>
      </c>
      <c r="G426" s="36" t="str">
        <f t="shared" si="33"/>
        <v>2017</v>
      </c>
      <c r="H426" s="30">
        <f t="shared" si="34"/>
        <v>109225.77119999999</v>
      </c>
    </row>
    <row r="427" spans="2:8" x14ac:dyDescent="0.35">
      <c r="B427" s="28" t="s">
        <v>455</v>
      </c>
      <c r="C427" s="26">
        <v>16173.215999999999</v>
      </c>
      <c r="D427" s="35" t="str">
        <f t="shared" si="30"/>
        <v>Electronics Sales 201703</v>
      </c>
      <c r="E427" s="33" t="str">
        <f t="shared" si="31"/>
        <v>Electronics Sales</v>
      </c>
      <c r="F427" s="36" t="str">
        <f t="shared" si="32"/>
        <v>03</v>
      </c>
      <c r="G427" s="36" t="str">
        <f t="shared" si="33"/>
        <v>2017</v>
      </c>
      <c r="H427" s="30">
        <f t="shared" si="34"/>
        <v>16173.215999999999</v>
      </c>
    </row>
    <row r="428" spans="2:8" x14ac:dyDescent="0.35">
      <c r="B428" s="28" t="s">
        <v>456</v>
      </c>
      <c r="C428" s="26">
        <v>0</v>
      </c>
      <c r="D428" s="35" t="str">
        <f t="shared" si="30"/>
        <v>Electronics Sales Tooling 201703</v>
      </c>
      <c r="E428" s="33" t="str">
        <f t="shared" si="31"/>
        <v>Electronics Sales Tooling</v>
      </c>
      <c r="F428" s="36" t="str">
        <f t="shared" si="32"/>
        <v>03</v>
      </c>
      <c r="G428" s="36" t="str">
        <f t="shared" si="33"/>
        <v>2017</v>
      </c>
      <c r="H428" s="30">
        <f t="shared" si="34"/>
        <v>0</v>
      </c>
    </row>
    <row r="429" spans="2:8" x14ac:dyDescent="0.35">
      <c r="B429" s="28" t="s">
        <v>457</v>
      </c>
      <c r="C429" s="26">
        <v>44589.93</v>
      </c>
      <c r="D429" s="35" t="str">
        <f t="shared" si="30"/>
        <v>Mechanic Sales 201703</v>
      </c>
      <c r="E429" s="33" t="str">
        <f t="shared" si="31"/>
        <v>Mechanic Sales</v>
      </c>
      <c r="F429" s="36" t="str">
        <f t="shared" si="32"/>
        <v>03</v>
      </c>
      <c r="G429" s="36" t="str">
        <f t="shared" si="33"/>
        <v>2017</v>
      </c>
      <c r="H429" s="30">
        <f t="shared" si="34"/>
        <v>44589.93</v>
      </c>
    </row>
    <row r="430" spans="2:8" x14ac:dyDescent="0.35">
      <c r="B430" s="28" t="s">
        <v>458</v>
      </c>
      <c r="C430" s="26">
        <v>0</v>
      </c>
      <c r="D430" s="35" t="str">
        <f t="shared" si="30"/>
        <v>Mechanic Sales Tooling 201703</v>
      </c>
      <c r="E430" s="33" t="str">
        <f t="shared" si="31"/>
        <v>Mechanic Sales Tooling</v>
      </c>
      <c r="F430" s="36" t="str">
        <f t="shared" si="32"/>
        <v>03</v>
      </c>
      <c r="G430" s="36" t="str">
        <f t="shared" si="33"/>
        <v>2017</v>
      </c>
      <c r="H430" s="30">
        <f t="shared" si="34"/>
        <v>0</v>
      </c>
    </row>
    <row r="431" spans="2:8" x14ac:dyDescent="0.35">
      <c r="B431" s="28" t="s">
        <v>459</v>
      </c>
      <c r="C431" s="26">
        <v>2681.136</v>
      </c>
      <c r="D431" s="35" t="str">
        <f t="shared" si="30"/>
        <v>Non Operating sales201703</v>
      </c>
      <c r="E431" s="33" t="str">
        <f t="shared" si="31"/>
        <v>Non Operating sale</v>
      </c>
      <c r="F431" s="36" t="str">
        <f t="shared" si="32"/>
        <v>03</v>
      </c>
      <c r="G431" s="36" t="str">
        <f t="shared" si="33"/>
        <v>2017</v>
      </c>
      <c r="H431" s="30">
        <f t="shared" si="34"/>
        <v>2681.136</v>
      </c>
    </row>
    <row r="432" spans="2:8" x14ac:dyDescent="0.35">
      <c r="B432" s="28" t="s">
        <v>460</v>
      </c>
      <c r="C432" s="26">
        <v>250726.10020000002</v>
      </c>
      <c r="D432" s="35" t="str">
        <f t="shared" si="30"/>
        <v>Partner Sales 201703</v>
      </c>
      <c r="E432" s="33" t="str">
        <f t="shared" si="31"/>
        <v>Partner Sales</v>
      </c>
      <c r="F432" s="36" t="str">
        <f t="shared" si="32"/>
        <v>03</v>
      </c>
      <c r="G432" s="36" t="str">
        <f t="shared" si="33"/>
        <v>2017</v>
      </c>
      <c r="H432" s="30">
        <f t="shared" si="34"/>
        <v>250726.10020000002</v>
      </c>
    </row>
    <row r="433" spans="2:8" x14ac:dyDescent="0.35">
      <c r="B433" s="28" t="s">
        <v>461</v>
      </c>
      <c r="C433" s="26">
        <v>0</v>
      </c>
      <c r="D433" s="35" t="str">
        <f t="shared" si="30"/>
        <v>Partner Sales Tooling 201703</v>
      </c>
      <c r="E433" s="33" t="str">
        <f t="shared" si="31"/>
        <v>Partner Sales Tooling</v>
      </c>
      <c r="F433" s="36" t="str">
        <f t="shared" si="32"/>
        <v>03</v>
      </c>
      <c r="G433" s="36" t="str">
        <f t="shared" si="33"/>
        <v>2017</v>
      </c>
      <c r="H433" s="30">
        <f t="shared" si="34"/>
        <v>0</v>
      </c>
    </row>
    <row r="434" spans="2:8" x14ac:dyDescent="0.35">
      <c r="B434" s="28" t="s">
        <v>462</v>
      </c>
      <c r="C434" s="26">
        <v>-2830.7719999999999</v>
      </c>
      <c r="D434" s="35" t="str">
        <f t="shared" si="30"/>
        <v>Sales - Discounts 201703</v>
      </c>
      <c r="E434" s="33" t="str">
        <f t="shared" si="31"/>
        <v>Sales - Discounts</v>
      </c>
      <c r="F434" s="36" t="str">
        <f t="shared" si="32"/>
        <v>03</v>
      </c>
      <c r="G434" s="36" t="str">
        <f t="shared" si="33"/>
        <v>2017</v>
      </c>
      <c r="H434" s="30">
        <f t="shared" si="34"/>
        <v>-2830.7719999999999</v>
      </c>
    </row>
    <row r="435" spans="2:8" x14ac:dyDescent="0.35">
      <c r="B435" s="28" t="s">
        <v>463</v>
      </c>
      <c r="C435" s="26">
        <v>-2463.4831000000004</v>
      </c>
      <c r="D435" s="35" t="str">
        <f t="shared" si="30"/>
        <v>Sales - Freight Out 201703</v>
      </c>
      <c r="E435" s="33" t="str">
        <f t="shared" si="31"/>
        <v>Sales - Freight Out</v>
      </c>
      <c r="F435" s="36" t="str">
        <f t="shared" si="32"/>
        <v>03</v>
      </c>
      <c r="G435" s="36" t="str">
        <f t="shared" si="33"/>
        <v>2017</v>
      </c>
      <c r="H435" s="30">
        <f t="shared" si="34"/>
        <v>-2463.4831000000004</v>
      </c>
    </row>
    <row r="436" spans="2:8" x14ac:dyDescent="0.35">
      <c r="B436" s="28" t="s">
        <v>464</v>
      </c>
      <c r="C436" s="26">
        <v>-20599.462500000001</v>
      </c>
      <c r="D436" s="35" t="str">
        <f t="shared" si="30"/>
        <v>Sales - Returns 201703</v>
      </c>
      <c r="E436" s="33" t="str">
        <f t="shared" si="31"/>
        <v>Sales - Returns</v>
      </c>
      <c r="F436" s="36" t="str">
        <f t="shared" si="32"/>
        <v>03</v>
      </c>
      <c r="G436" s="36" t="str">
        <f t="shared" si="33"/>
        <v>2017</v>
      </c>
      <c r="H436" s="30">
        <f t="shared" si="34"/>
        <v>-20599.462500000001</v>
      </c>
    </row>
    <row r="437" spans="2:8" x14ac:dyDescent="0.35">
      <c r="B437" s="28" t="s">
        <v>465</v>
      </c>
      <c r="C437" s="26">
        <v>229776.80439999996</v>
      </c>
      <c r="D437" s="35" t="str">
        <f t="shared" si="30"/>
        <v>Automotive Sales 201704</v>
      </c>
      <c r="E437" s="33" t="str">
        <f t="shared" si="31"/>
        <v>Automotive Sales</v>
      </c>
      <c r="F437" s="36" t="str">
        <f t="shared" si="32"/>
        <v>04</v>
      </c>
      <c r="G437" s="36" t="str">
        <f t="shared" si="33"/>
        <v>2017</v>
      </c>
      <c r="H437" s="30">
        <f t="shared" si="34"/>
        <v>229776.80439999996</v>
      </c>
    </row>
    <row r="438" spans="2:8" x14ac:dyDescent="0.35">
      <c r="B438" s="28" t="s">
        <v>466</v>
      </c>
      <c r="C438" s="26">
        <v>0</v>
      </c>
      <c r="D438" s="35" t="str">
        <f t="shared" si="30"/>
        <v>Automotive Sales Tooling 201704</v>
      </c>
      <c r="E438" s="33" t="str">
        <f t="shared" si="31"/>
        <v>Automotive Sales Tooling</v>
      </c>
      <c r="F438" s="36" t="str">
        <f t="shared" si="32"/>
        <v>04</v>
      </c>
      <c r="G438" s="36" t="str">
        <f t="shared" si="33"/>
        <v>2017</v>
      </c>
      <c r="H438" s="30">
        <f t="shared" si="34"/>
        <v>0</v>
      </c>
    </row>
    <row r="439" spans="2:8" x14ac:dyDescent="0.35">
      <c r="B439" s="28" t="s">
        <v>467</v>
      </c>
      <c r="C439" s="26">
        <v>547513.79980000004</v>
      </c>
      <c r="D439" s="35" t="str">
        <f t="shared" si="30"/>
        <v>Bulk Sales 201704</v>
      </c>
      <c r="E439" s="33" t="str">
        <f t="shared" si="31"/>
        <v>Bulk Sales</v>
      </c>
      <c r="F439" s="36" t="str">
        <f t="shared" si="32"/>
        <v>04</v>
      </c>
      <c r="G439" s="36" t="str">
        <f t="shared" si="33"/>
        <v>2017</v>
      </c>
      <c r="H439" s="30">
        <f t="shared" si="34"/>
        <v>547513.79980000004</v>
      </c>
    </row>
    <row r="440" spans="2:8" x14ac:dyDescent="0.35">
      <c r="B440" s="28" t="s">
        <v>468</v>
      </c>
      <c r="C440" s="26">
        <v>105645.59999999999</v>
      </c>
      <c r="D440" s="35" t="str">
        <f t="shared" si="30"/>
        <v>Bulk Sales Tooling 201704</v>
      </c>
      <c r="E440" s="33" t="str">
        <f t="shared" si="31"/>
        <v>Bulk Sales Tooling</v>
      </c>
      <c r="F440" s="36" t="str">
        <f t="shared" si="32"/>
        <v>04</v>
      </c>
      <c r="G440" s="36" t="str">
        <f t="shared" si="33"/>
        <v>2017</v>
      </c>
      <c r="H440" s="30">
        <f t="shared" si="34"/>
        <v>105645.59999999999</v>
      </c>
    </row>
    <row r="441" spans="2:8" x14ac:dyDescent="0.35">
      <c r="B441" s="28" t="s">
        <v>469</v>
      </c>
      <c r="C441" s="26">
        <v>587696.18799999997</v>
      </c>
      <c r="D441" s="35" t="str">
        <f t="shared" si="30"/>
        <v>Consumer Sales 201704</v>
      </c>
      <c r="E441" s="33" t="str">
        <f t="shared" si="31"/>
        <v>Consumer Sales</v>
      </c>
      <c r="F441" s="36" t="str">
        <f t="shared" si="32"/>
        <v>04</v>
      </c>
      <c r="G441" s="36" t="str">
        <f t="shared" si="33"/>
        <v>2017</v>
      </c>
      <c r="H441" s="30">
        <f t="shared" si="34"/>
        <v>587696.18799999997</v>
      </c>
    </row>
    <row r="442" spans="2:8" x14ac:dyDescent="0.35">
      <c r="B442" s="28" t="s">
        <v>470</v>
      </c>
      <c r="C442" s="26">
        <v>6470.971199999999</v>
      </c>
      <c r="D442" s="35" t="str">
        <f t="shared" si="30"/>
        <v>Consumer Sales Tooling 201704</v>
      </c>
      <c r="E442" s="33" t="str">
        <f t="shared" si="31"/>
        <v>Consumer Sales Tooling</v>
      </c>
      <c r="F442" s="36" t="str">
        <f t="shared" si="32"/>
        <v>04</v>
      </c>
      <c r="G442" s="36" t="str">
        <f t="shared" si="33"/>
        <v>2017</v>
      </c>
      <c r="H442" s="30">
        <f t="shared" si="34"/>
        <v>6470.971199999999</v>
      </c>
    </row>
    <row r="443" spans="2:8" x14ac:dyDescent="0.35">
      <c r="B443" s="28" t="s">
        <v>471</v>
      </c>
      <c r="C443" s="26">
        <v>30437.8272</v>
      </c>
      <c r="D443" s="35" t="str">
        <f t="shared" si="30"/>
        <v>Electronics Sales 201704</v>
      </c>
      <c r="E443" s="33" t="str">
        <f t="shared" si="31"/>
        <v>Electronics Sales</v>
      </c>
      <c r="F443" s="36" t="str">
        <f t="shared" si="32"/>
        <v>04</v>
      </c>
      <c r="G443" s="36" t="str">
        <f t="shared" si="33"/>
        <v>2017</v>
      </c>
      <c r="H443" s="30">
        <f t="shared" si="34"/>
        <v>30437.8272</v>
      </c>
    </row>
    <row r="444" spans="2:8" x14ac:dyDescent="0.35">
      <c r="B444" s="28" t="s">
        <v>472</v>
      </c>
      <c r="C444" s="26">
        <v>0</v>
      </c>
      <c r="D444" s="35" t="str">
        <f t="shared" si="30"/>
        <v>Electronics Sales Tooling 201704</v>
      </c>
      <c r="E444" s="33" t="str">
        <f t="shared" si="31"/>
        <v>Electronics Sales Tooling</v>
      </c>
      <c r="F444" s="36" t="str">
        <f t="shared" si="32"/>
        <v>04</v>
      </c>
      <c r="G444" s="36" t="str">
        <f t="shared" si="33"/>
        <v>2017</v>
      </c>
      <c r="H444" s="30">
        <f t="shared" si="34"/>
        <v>0</v>
      </c>
    </row>
    <row r="445" spans="2:8" x14ac:dyDescent="0.35">
      <c r="B445" s="28" t="s">
        <v>473</v>
      </c>
      <c r="C445" s="26">
        <v>26983.800000000003</v>
      </c>
      <c r="D445" s="35" t="str">
        <f t="shared" si="30"/>
        <v>Mechanic Sales 201704</v>
      </c>
      <c r="E445" s="33" t="str">
        <f t="shared" si="31"/>
        <v>Mechanic Sales</v>
      </c>
      <c r="F445" s="36" t="str">
        <f t="shared" si="32"/>
        <v>04</v>
      </c>
      <c r="G445" s="36" t="str">
        <f t="shared" si="33"/>
        <v>2017</v>
      </c>
      <c r="H445" s="30">
        <f t="shared" si="34"/>
        <v>26983.800000000003</v>
      </c>
    </row>
    <row r="446" spans="2:8" x14ac:dyDescent="0.35">
      <c r="B446" s="28" t="s">
        <v>474</v>
      </c>
      <c r="C446" s="26">
        <v>0</v>
      </c>
      <c r="D446" s="35" t="str">
        <f t="shared" si="30"/>
        <v>Mechanic Sales Tooling 201704</v>
      </c>
      <c r="E446" s="33" t="str">
        <f t="shared" si="31"/>
        <v>Mechanic Sales Tooling</v>
      </c>
      <c r="F446" s="36" t="str">
        <f t="shared" si="32"/>
        <v>04</v>
      </c>
      <c r="G446" s="36" t="str">
        <f t="shared" si="33"/>
        <v>2017</v>
      </c>
      <c r="H446" s="30">
        <f t="shared" si="34"/>
        <v>0</v>
      </c>
    </row>
    <row r="447" spans="2:8" x14ac:dyDescent="0.35">
      <c r="B447" s="28" t="s">
        <v>475</v>
      </c>
      <c r="C447" s="26">
        <v>1871.8158000000001</v>
      </c>
      <c r="D447" s="35" t="str">
        <f t="shared" si="30"/>
        <v>Non Operating sales201704</v>
      </c>
      <c r="E447" s="33" t="str">
        <f t="shared" si="31"/>
        <v>Non Operating sale</v>
      </c>
      <c r="F447" s="36" t="str">
        <f t="shared" si="32"/>
        <v>04</v>
      </c>
      <c r="G447" s="36" t="str">
        <f t="shared" si="33"/>
        <v>2017</v>
      </c>
      <c r="H447" s="30">
        <f t="shared" si="34"/>
        <v>1871.8158000000001</v>
      </c>
    </row>
    <row r="448" spans="2:8" x14ac:dyDescent="0.35">
      <c r="B448" s="28" t="s">
        <v>476</v>
      </c>
      <c r="C448" s="26">
        <v>162866.49440000003</v>
      </c>
      <c r="D448" s="35" t="str">
        <f t="shared" si="30"/>
        <v>Partner Sales 201704</v>
      </c>
      <c r="E448" s="33" t="str">
        <f t="shared" si="31"/>
        <v>Partner Sales</v>
      </c>
      <c r="F448" s="36" t="str">
        <f t="shared" si="32"/>
        <v>04</v>
      </c>
      <c r="G448" s="36" t="str">
        <f t="shared" si="33"/>
        <v>2017</v>
      </c>
      <c r="H448" s="30">
        <f t="shared" si="34"/>
        <v>162866.49440000003</v>
      </c>
    </row>
    <row r="449" spans="2:8" x14ac:dyDescent="0.35">
      <c r="B449" s="28" t="s">
        <v>477</v>
      </c>
      <c r="C449" s="26">
        <v>48708.75</v>
      </c>
      <c r="D449" s="35" t="str">
        <f t="shared" si="30"/>
        <v>Partner Sales Tooling 201704</v>
      </c>
      <c r="E449" s="33" t="str">
        <f t="shared" si="31"/>
        <v>Partner Sales Tooling</v>
      </c>
      <c r="F449" s="36" t="str">
        <f t="shared" si="32"/>
        <v>04</v>
      </c>
      <c r="G449" s="36" t="str">
        <f t="shared" si="33"/>
        <v>2017</v>
      </c>
      <c r="H449" s="30">
        <f t="shared" si="34"/>
        <v>48708.75</v>
      </c>
    </row>
    <row r="450" spans="2:8" x14ac:dyDescent="0.35">
      <c r="B450" s="28" t="s">
        <v>478</v>
      </c>
      <c r="C450" s="26">
        <v>-4237.1279999999997</v>
      </c>
      <c r="D450" s="35" t="str">
        <f t="shared" si="30"/>
        <v>Sales - Discounts 201704</v>
      </c>
      <c r="E450" s="33" t="str">
        <f t="shared" si="31"/>
        <v>Sales - Discounts</v>
      </c>
      <c r="F450" s="36" t="str">
        <f t="shared" si="32"/>
        <v>04</v>
      </c>
      <c r="G450" s="36" t="str">
        <f t="shared" si="33"/>
        <v>2017</v>
      </c>
      <c r="H450" s="30">
        <f t="shared" si="34"/>
        <v>-4237.1279999999997</v>
      </c>
    </row>
    <row r="451" spans="2:8" x14ac:dyDescent="0.35">
      <c r="B451" s="28" t="s">
        <v>479</v>
      </c>
      <c r="C451" s="26">
        <v>1393.2387000000001</v>
      </c>
      <c r="D451" s="35" t="str">
        <f t="shared" si="30"/>
        <v>Sales - Freight Out 201704</v>
      </c>
      <c r="E451" s="33" t="str">
        <f t="shared" si="31"/>
        <v>Sales - Freight Out</v>
      </c>
      <c r="F451" s="36" t="str">
        <f t="shared" si="32"/>
        <v>04</v>
      </c>
      <c r="G451" s="36" t="str">
        <f t="shared" si="33"/>
        <v>2017</v>
      </c>
      <c r="H451" s="30">
        <f t="shared" si="34"/>
        <v>1393.2387000000001</v>
      </c>
    </row>
    <row r="452" spans="2:8" x14ac:dyDescent="0.35">
      <c r="B452" s="28" t="s">
        <v>480</v>
      </c>
      <c r="C452" s="26">
        <v>-9313.3250000000007</v>
      </c>
      <c r="D452" s="35" t="str">
        <f t="shared" si="30"/>
        <v>Sales - Returns 201704</v>
      </c>
      <c r="E452" s="33" t="str">
        <f t="shared" si="31"/>
        <v>Sales - Returns</v>
      </c>
      <c r="F452" s="36" t="str">
        <f t="shared" si="32"/>
        <v>04</v>
      </c>
      <c r="G452" s="36" t="str">
        <f t="shared" si="33"/>
        <v>2017</v>
      </c>
      <c r="H452" s="30">
        <f t="shared" si="34"/>
        <v>-9313.3250000000007</v>
      </c>
    </row>
    <row r="453" spans="2:8" x14ac:dyDescent="0.35">
      <c r="B453" s="28" t="s">
        <v>481</v>
      </c>
      <c r="C453" s="26">
        <v>305738.97639999999</v>
      </c>
      <c r="D453" s="35" t="str">
        <f t="shared" si="30"/>
        <v>Automotive Sales 201705</v>
      </c>
      <c r="E453" s="33" t="str">
        <f t="shared" si="31"/>
        <v>Automotive Sales</v>
      </c>
      <c r="F453" s="36" t="str">
        <f t="shared" si="32"/>
        <v>05</v>
      </c>
      <c r="G453" s="36" t="str">
        <f t="shared" si="33"/>
        <v>2017</v>
      </c>
      <c r="H453" s="30">
        <f t="shared" si="34"/>
        <v>305738.97639999999</v>
      </c>
    </row>
    <row r="454" spans="2:8" x14ac:dyDescent="0.35">
      <c r="B454" s="28" t="s">
        <v>482</v>
      </c>
      <c r="C454" s="26">
        <v>0</v>
      </c>
      <c r="D454" s="35" t="str">
        <f t="shared" ref="D454:D517" si="35">TRIM(B454)</f>
        <v>Automotive Sales Tooling 201705</v>
      </c>
      <c r="E454" s="33" t="str">
        <f t="shared" ref="E454:E517" si="36">LEFT(D454,LEN(D454)-7)</f>
        <v>Automotive Sales Tooling</v>
      </c>
      <c r="F454" s="36" t="str">
        <f t="shared" ref="F454:F517" si="37">RIGHT(D454,2)</f>
        <v>05</v>
      </c>
      <c r="G454" s="36" t="str">
        <f t="shared" ref="G454:G517" si="38">RIGHT(LEFT(D454,LEN(D454)-2),4)</f>
        <v>2017</v>
      </c>
      <c r="H454" s="30">
        <f t="shared" ref="H454:H517" si="39">C454</f>
        <v>0</v>
      </c>
    </row>
    <row r="455" spans="2:8" x14ac:dyDescent="0.35">
      <c r="B455" s="28" t="s">
        <v>483</v>
      </c>
      <c r="C455" s="26">
        <v>679021.14380000008</v>
      </c>
      <c r="D455" s="35" t="str">
        <f t="shared" si="35"/>
        <v>Bulk Sales 201705</v>
      </c>
      <c r="E455" s="33" t="str">
        <f t="shared" si="36"/>
        <v>Bulk Sales</v>
      </c>
      <c r="F455" s="36" t="str">
        <f t="shared" si="37"/>
        <v>05</v>
      </c>
      <c r="G455" s="36" t="str">
        <f t="shared" si="38"/>
        <v>2017</v>
      </c>
      <c r="H455" s="30">
        <f t="shared" si="39"/>
        <v>679021.14380000008</v>
      </c>
    </row>
    <row r="456" spans="2:8" x14ac:dyDescent="0.35">
      <c r="B456" s="28" t="s">
        <v>484</v>
      </c>
      <c r="C456" s="26">
        <v>119403.36</v>
      </c>
      <c r="D456" s="35" t="str">
        <f t="shared" si="35"/>
        <v>Bulk Sales Tooling 201705</v>
      </c>
      <c r="E456" s="33" t="str">
        <f t="shared" si="36"/>
        <v>Bulk Sales Tooling</v>
      </c>
      <c r="F456" s="36" t="str">
        <f t="shared" si="37"/>
        <v>05</v>
      </c>
      <c r="G456" s="36" t="str">
        <f t="shared" si="38"/>
        <v>2017</v>
      </c>
      <c r="H456" s="30">
        <f t="shared" si="39"/>
        <v>119403.36</v>
      </c>
    </row>
    <row r="457" spans="2:8" x14ac:dyDescent="0.35">
      <c r="B457" s="28" t="s">
        <v>485</v>
      </c>
      <c r="C457" s="26">
        <v>439148.39279999991</v>
      </c>
      <c r="D457" s="35" t="str">
        <f t="shared" si="35"/>
        <v>Consumer Sales 201705</v>
      </c>
      <c r="E457" s="33" t="str">
        <f t="shared" si="36"/>
        <v>Consumer Sales</v>
      </c>
      <c r="F457" s="36" t="str">
        <f t="shared" si="37"/>
        <v>05</v>
      </c>
      <c r="G457" s="36" t="str">
        <f t="shared" si="38"/>
        <v>2017</v>
      </c>
      <c r="H457" s="30">
        <f t="shared" si="39"/>
        <v>439148.39279999991</v>
      </c>
    </row>
    <row r="458" spans="2:8" x14ac:dyDescent="0.35">
      <c r="B458" s="28" t="s">
        <v>486</v>
      </c>
      <c r="C458" s="26">
        <v>72659.851200000005</v>
      </c>
      <c r="D458" s="35" t="str">
        <f t="shared" si="35"/>
        <v>Consumer Sales Tooling 201705</v>
      </c>
      <c r="E458" s="33" t="str">
        <f t="shared" si="36"/>
        <v>Consumer Sales Tooling</v>
      </c>
      <c r="F458" s="36" t="str">
        <f t="shared" si="37"/>
        <v>05</v>
      </c>
      <c r="G458" s="36" t="str">
        <f t="shared" si="38"/>
        <v>2017</v>
      </c>
      <c r="H458" s="30">
        <f t="shared" si="39"/>
        <v>72659.851200000005</v>
      </c>
    </row>
    <row r="459" spans="2:8" x14ac:dyDescent="0.35">
      <c r="B459" s="28" t="s">
        <v>487</v>
      </c>
      <c r="C459" s="26">
        <v>10182.585599999999</v>
      </c>
      <c r="D459" s="35" t="str">
        <f t="shared" si="35"/>
        <v>Electronics Sales 201705</v>
      </c>
      <c r="E459" s="33" t="str">
        <f t="shared" si="36"/>
        <v>Electronics Sales</v>
      </c>
      <c r="F459" s="36" t="str">
        <f t="shared" si="37"/>
        <v>05</v>
      </c>
      <c r="G459" s="36" t="str">
        <f t="shared" si="38"/>
        <v>2017</v>
      </c>
      <c r="H459" s="30">
        <f t="shared" si="39"/>
        <v>10182.585599999999</v>
      </c>
    </row>
    <row r="460" spans="2:8" x14ac:dyDescent="0.35">
      <c r="B460" s="28" t="s">
        <v>488</v>
      </c>
      <c r="C460" s="26">
        <v>0</v>
      </c>
      <c r="D460" s="35" t="str">
        <f t="shared" si="35"/>
        <v>Electronics Sales Tooling 201705</v>
      </c>
      <c r="E460" s="33" t="str">
        <f t="shared" si="36"/>
        <v>Electronics Sales Tooling</v>
      </c>
      <c r="F460" s="36" t="str">
        <f t="shared" si="37"/>
        <v>05</v>
      </c>
      <c r="G460" s="36" t="str">
        <f t="shared" si="38"/>
        <v>2017</v>
      </c>
      <c r="H460" s="30">
        <f t="shared" si="39"/>
        <v>0</v>
      </c>
    </row>
    <row r="461" spans="2:8" x14ac:dyDescent="0.35">
      <c r="B461" s="28" t="s">
        <v>489</v>
      </c>
      <c r="C461" s="26">
        <v>27781.245000000003</v>
      </c>
      <c r="D461" s="35" t="str">
        <f t="shared" si="35"/>
        <v>Mechanic Sales 201705</v>
      </c>
      <c r="E461" s="33" t="str">
        <f t="shared" si="36"/>
        <v>Mechanic Sales</v>
      </c>
      <c r="F461" s="36" t="str">
        <f t="shared" si="37"/>
        <v>05</v>
      </c>
      <c r="G461" s="36" t="str">
        <f t="shared" si="38"/>
        <v>2017</v>
      </c>
      <c r="H461" s="30">
        <f t="shared" si="39"/>
        <v>27781.245000000003</v>
      </c>
    </row>
    <row r="462" spans="2:8" x14ac:dyDescent="0.35">
      <c r="B462" s="28" t="s">
        <v>490</v>
      </c>
      <c r="C462" s="26">
        <v>117382.5</v>
      </c>
      <c r="D462" s="35" t="str">
        <f t="shared" si="35"/>
        <v>Mechanic Sales Tooling 201705</v>
      </c>
      <c r="E462" s="33" t="str">
        <f t="shared" si="36"/>
        <v>Mechanic Sales Tooling</v>
      </c>
      <c r="F462" s="36" t="str">
        <f t="shared" si="37"/>
        <v>05</v>
      </c>
      <c r="G462" s="36" t="str">
        <f t="shared" si="38"/>
        <v>2017</v>
      </c>
      <c r="H462" s="30">
        <f t="shared" si="39"/>
        <v>117382.5</v>
      </c>
    </row>
    <row r="463" spans="2:8" x14ac:dyDescent="0.35">
      <c r="B463" s="28" t="s">
        <v>491</v>
      </c>
      <c r="C463" s="26">
        <v>0</v>
      </c>
      <c r="D463" s="35" t="str">
        <f t="shared" si="35"/>
        <v>Non Operating sales201705</v>
      </c>
      <c r="E463" s="33" t="str">
        <f t="shared" si="36"/>
        <v>Non Operating sale</v>
      </c>
      <c r="F463" s="36" t="str">
        <f t="shared" si="37"/>
        <v>05</v>
      </c>
      <c r="G463" s="36" t="str">
        <f t="shared" si="38"/>
        <v>2017</v>
      </c>
      <c r="H463" s="30">
        <f t="shared" si="39"/>
        <v>0</v>
      </c>
    </row>
    <row r="464" spans="2:8" x14ac:dyDescent="0.35">
      <c r="B464" s="28" t="s">
        <v>492</v>
      </c>
      <c r="C464" s="26">
        <v>145175.76079999999</v>
      </c>
      <c r="D464" s="35" t="str">
        <f t="shared" si="35"/>
        <v>Partner Sales 201705</v>
      </c>
      <c r="E464" s="33" t="str">
        <f t="shared" si="36"/>
        <v>Partner Sales</v>
      </c>
      <c r="F464" s="36" t="str">
        <f t="shared" si="37"/>
        <v>05</v>
      </c>
      <c r="G464" s="36" t="str">
        <f t="shared" si="38"/>
        <v>2017</v>
      </c>
      <c r="H464" s="30">
        <f t="shared" si="39"/>
        <v>145175.76079999999</v>
      </c>
    </row>
    <row r="465" spans="2:8" x14ac:dyDescent="0.35">
      <c r="B465" s="28" t="s">
        <v>493</v>
      </c>
      <c r="C465" s="26">
        <v>10604.789999999999</v>
      </c>
      <c r="D465" s="35" t="str">
        <f t="shared" si="35"/>
        <v>Partner Sales Tooling 201705</v>
      </c>
      <c r="E465" s="33" t="str">
        <f t="shared" si="36"/>
        <v>Partner Sales Tooling</v>
      </c>
      <c r="F465" s="36" t="str">
        <f t="shared" si="37"/>
        <v>05</v>
      </c>
      <c r="G465" s="36" t="str">
        <f t="shared" si="38"/>
        <v>2017</v>
      </c>
      <c r="H465" s="30">
        <f t="shared" si="39"/>
        <v>10604.789999999999</v>
      </c>
    </row>
    <row r="466" spans="2:8" x14ac:dyDescent="0.35">
      <c r="B466" s="28" t="s">
        <v>494</v>
      </c>
      <c r="C466" s="26">
        <v>-6495.985999999999</v>
      </c>
      <c r="D466" s="35" t="str">
        <f t="shared" si="35"/>
        <v>Sales - Discounts 201705</v>
      </c>
      <c r="E466" s="33" t="str">
        <f t="shared" si="36"/>
        <v>Sales - Discounts</v>
      </c>
      <c r="F466" s="36" t="str">
        <f t="shared" si="37"/>
        <v>05</v>
      </c>
      <c r="G466" s="36" t="str">
        <f t="shared" si="38"/>
        <v>2017</v>
      </c>
      <c r="H466" s="30">
        <f t="shared" si="39"/>
        <v>-6495.985999999999</v>
      </c>
    </row>
    <row r="467" spans="2:8" x14ac:dyDescent="0.35">
      <c r="B467" s="28" t="s">
        <v>495</v>
      </c>
      <c r="C467" s="26">
        <v>4302.0778</v>
      </c>
      <c r="D467" s="35" t="str">
        <f t="shared" si="35"/>
        <v>Sales - Freight Out 201705</v>
      </c>
      <c r="E467" s="33" t="str">
        <f t="shared" si="36"/>
        <v>Sales - Freight Out</v>
      </c>
      <c r="F467" s="36" t="str">
        <f t="shared" si="37"/>
        <v>05</v>
      </c>
      <c r="G467" s="36" t="str">
        <f t="shared" si="38"/>
        <v>2017</v>
      </c>
      <c r="H467" s="30">
        <f t="shared" si="39"/>
        <v>4302.0778</v>
      </c>
    </row>
    <row r="468" spans="2:8" x14ac:dyDescent="0.35">
      <c r="B468" s="28" t="s">
        <v>496</v>
      </c>
      <c r="C468" s="26">
        <v>-36913.800000000003</v>
      </c>
      <c r="D468" s="35" t="str">
        <f t="shared" si="35"/>
        <v>Sales - Returns 201705</v>
      </c>
      <c r="E468" s="33" t="str">
        <f t="shared" si="36"/>
        <v>Sales - Returns</v>
      </c>
      <c r="F468" s="36" t="str">
        <f t="shared" si="37"/>
        <v>05</v>
      </c>
      <c r="G468" s="36" t="str">
        <f t="shared" si="38"/>
        <v>2017</v>
      </c>
      <c r="H468" s="30">
        <f t="shared" si="39"/>
        <v>-36913.800000000003</v>
      </c>
    </row>
    <row r="469" spans="2:8" x14ac:dyDescent="0.35">
      <c r="B469" s="28" t="s">
        <v>497</v>
      </c>
      <c r="C469" s="26">
        <v>435477.19929999998</v>
      </c>
      <c r="D469" s="35" t="str">
        <f t="shared" si="35"/>
        <v>Automotive Sales 201706</v>
      </c>
      <c r="E469" s="33" t="str">
        <f t="shared" si="36"/>
        <v>Automotive Sales</v>
      </c>
      <c r="F469" s="36" t="str">
        <f t="shared" si="37"/>
        <v>06</v>
      </c>
      <c r="G469" s="36" t="str">
        <f t="shared" si="38"/>
        <v>2017</v>
      </c>
      <c r="H469" s="30">
        <f t="shared" si="39"/>
        <v>435477.19929999998</v>
      </c>
    </row>
    <row r="470" spans="2:8" x14ac:dyDescent="0.35">
      <c r="B470" s="28" t="s">
        <v>498</v>
      </c>
      <c r="C470" s="26">
        <v>0</v>
      </c>
      <c r="D470" s="35" t="str">
        <f t="shared" si="35"/>
        <v>Automotive Sales Tooling 201706</v>
      </c>
      <c r="E470" s="33" t="str">
        <f t="shared" si="36"/>
        <v>Automotive Sales Tooling</v>
      </c>
      <c r="F470" s="36" t="str">
        <f t="shared" si="37"/>
        <v>06</v>
      </c>
      <c r="G470" s="36" t="str">
        <f t="shared" si="38"/>
        <v>2017</v>
      </c>
      <c r="H470" s="30">
        <f t="shared" si="39"/>
        <v>0</v>
      </c>
    </row>
    <row r="471" spans="2:8" x14ac:dyDescent="0.35">
      <c r="B471" s="28" t="s">
        <v>499</v>
      </c>
      <c r="C471" s="26">
        <v>873603.26840000018</v>
      </c>
      <c r="D471" s="35" t="str">
        <f t="shared" si="35"/>
        <v>Bulk Sales 201706</v>
      </c>
      <c r="E471" s="33" t="str">
        <f t="shared" si="36"/>
        <v>Bulk Sales</v>
      </c>
      <c r="F471" s="36" t="str">
        <f t="shared" si="37"/>
        <v>06</v>
      </c>
      <c r="G471" s="36" t="str">
        <f t="shared" si="38"/>
        <v>2017</v>
      </c>
      <c r="H471" s="30">
        <f t="shared" si="39"/>
        <v>873603.26840000018</v>
      </c>
    </row>
    <row r="472" spans="2:8" x14ac:dyDescent="0.35">
      <c r="B472" s="28" t="s">
        <v>500</v>
      </c>
      <c r="C472" s="26">
        <v>70208.639999999999</v>
      </c>
      <c r="D472" s="35" t="str">
        <f t="shared" si="35"/>
        <v>Bulk Sales Tooling 201706</v>
      </c>
      <c r="E472" s="33" t="str">
        <f t="shared" si="36"/>
        <v>Bulk Sales Tooling</v>
      </c>
      <c r="F472" s="36" t="str">
        <f t="shared" si="37"/>
        <v>06</v>
      </c>
      <c r="G472" s="36" t="str">
        <f t="shared" si="38"/>
        <v>2017</v>
      </c>
      <c r="H472" s="30">
        <f t="shared" si="39"/>
        <v>70208.639999999999</v>
      </c>
    </row>
    <row r="473" spans="2:8" x14ac:dyDescent="0.35">
      <c r="B473" s="28" t="s">
        <v>501</v>
      </c>
      <c r="C473" s="26">
        <v>436859.19999999995</v>
      </c>
      <c r="D473" s="35" t="str">
        <f t="shared" si="35"/>
        <v>Consumer Sales 201706</v>
      </c>
      <c r="E473" s="33" t="str">
        <f t="shared" si="36"/>
        <v>Consumer Sales</v>
      </c>
      <c r="F473" s="36" t="str">
        <f t="shared" si="37"/>
        <v>06</v>
      </c>
      <c r="G473" s="36" t="str">
        <f t="shared" si="38"/>
        <v>2017</v>
      </c>
      <c r="H473" s="30">
        <f t="shared" si="39"/>
        <v>436859.19999999995</v>
      </c>
    </row>
    <row r="474" spans="2:8" x14ac:dyDescent="0.35">
      <c r="B474" s="28" t="s">
        <v>502</v>
      </c>
      <c r="C474" s="26">
        <v>93888</v>
      </c>
      <c r="D474" s="35" t="str">
        <f t="shared" si="35"/>
        <v>Consumer Sales Tooling 201706</v>
      </c>
      <c r="E474" s="33" t="str">
        <f t="shared" si="36"/>
        <v>Consumer Sales Tooling</v>
      </c>
      <c r="F474" s="36" t="str">
        <f t="shared" si="37"/>
        <v>06</v>
      </c>
      <c r="G474" s="36" t="str">
        <f t="shared" si="38"/>
        <v>2017</v>
      </c>
      <c r="H474" s="30">
        <f t="shared" si="39"/>
        <v>93888</v>
      </c>
    </row>
    <row r="475" spans="2:8" x14ac:dyDescent="0.35">
      <c r="B475" s="28" t="s">
        <v>503</v>
      </c>
      <c r="C475" s="26">
        <v>10689.6096</v>
      </c>
      <c r="D475" s="35" t="str">
        <f t="shared" si="35"/>
        <v>Electronics Sales 201706</v>
      </c>
      <c r="E475" s="33" t="str">
        <f t="shared" si="36"/>
        <v>Electronics Sales</v>
      </c>
      <c r="F475" s="36" t="str">
        <f t="shared" si="37"/>
        <v>06</v>
      </c>
      <c r="G475" s="36" t="str">
        <f t="shared" si="38"/>
        <v>2017</v>
      </c>
      <c r="H475" s="30">
        <f t="shared" si="39"/>
        <v>10689.6096</v>
      </c>
    </row>
    <row r="476" spans="2:8" x14ac:dyDescent="0.35">
      <c r="B476" s="28" t="s">
        <v>504</v>
      </c>
      <c r="C476" s="26">
        <v>5711.9999999999991</v>
      </c>
      <c r="D476" s="35" t="str">
        <f t="shared" si="35"/>
        <v>Electronics Sales Tooling 201706</v>
      </c>
      <c r="E476" s="33" t="str">
        <f t="shared" si="36"/>
        <v>Electronics Sales Tooling</v>
      </c>
      <c r="F476" s="36" t="str">
        <f t="shared" si="37"/>
        <v>06</v>
      </c>
      <c r="G476" s="36" t="str">
        <f t="shared" si="38"/>
        <v>2017</v>
      </c>
      <c r="H476" s="30">
        <f t="shared" si="39"/>
        <v>5711.9999999999991</v>
      </c>
    </row>
    <row r="477" spans="2:8" x14ac:dyDescent="0.35">
      <c r="B477" s="28" t="s">
        <v>505</v>
      </c>
      <c r="C477" s="26">
        <v>0</v>
      </c>
      <c r="D477" s="35" t="str">
        <f t="shared" si="35"/>
        <v>Mechanic Sales 201706</v>
      </c>
      <c r="E477" s="33" t="str">
        <f t="shared" si="36"/>
        <v>Mechanic Sales</v>
      </c>
      <c r="F477" s="36" t="str">
        <f t="shared" si="37"/>
        <v>06</v>
      </c>
      <c r="G477" s="36" t="str">
        <f t="shared" si="38"/>
        <v>2017</v>
      </c>
      <c r="H477" s="30">
        <f t="shared" si="39"/>
        <v>0</v>
      </c>
    </row>
    <row r="478" spans="2:8" x14ac:dyDescent="0.35">
      <c r="B478" s="28" t="s">
        <v>506</v>
      </c>
      <c r="C478" s="26">
        <v>63303.359999999993</v>
      </c>
      <c r="D478" s="35" t="str">
        <f t="shared" si="35"/>
        <v>Mechanic Sales Tooling 201706</v>
      </c>
      <c r="E478" s="33" t="str">
        <f t="shared" si="36"/>
        <v>Mechanic Sales Tooling</v>
      </c>
      <c r="F478" s="36" t="str">
        <f t="shared" si="37"/>
        <v>06</v>
      </c>
      <c r="G478" s="36" t="str">
        <f t="shared" si="38"/>
        <v>2017</v>
      </c>
      <c r="H478" s="30">
        <f t="shared" si="39"/>
        <v>63303.359999999993</v>
      </c>
    </row>
    <row r="479" spans="2:8" x14ac:dyDescent="0.35">
      <c r="B479" s="28" t="s">
        <v>507</v>
      </c>
      <c r="C479" s="26">
        <v>0</v>
      </c>
      <c r="D479" s="35" t="str">
        <f t="shared" si="35"/>
        <v>Non Operating sales201706</v>
      </c>
      <c r="E479" s="33" t="str">
        <f t="shared" si="36"/>
        <v>Non Operating sale</v>
      </c>
      <c r="F479" s="36" t="str">
        <f t="shared" si="37"/>
        <v>06</v>
      </c>
      <c r="G479" s="36" t="str">
        <f t="shared" si="38"/>
        <v>2017</v>
      </c>
      <c r="H479" s="30">
        <f t="shared" si="39"/>
        <v>0</v>
      </c>
    </row>
    <row r="480" spans="2:8" x14ac:dyDescent="0.35">
      <c r="B480" s="28" t="s">
        <v>508</v>
      </c>
      <c r="C480" s="26">
        <v>208160.5312</v>
      </c>
      <c r="D480" s="35" t="str">
        <f t="shared" si="35"/>
        <v>Partner Sales 201706</v>
      </c>
      <c r="E480" s="33" t="str">
        <f t="shared" si="36"/>
        <v>Partner Sales</v>
      </c>
      <c r="F480" s="36" t="str">
        <f t="shared" si="37"/>
        <v>06</v>
      </c>
      <c r="G480" s="36" t="str">
        <f t="shared" si="38"/>
        <v>2017</v>
      </c>
      <c r="H480" s="30">
        <f t="shared" si="39"/>
        <v>208160.5312</v>
      </c>
    </row>
    <row r="481" spans="2:8" x14ac:dyDescent="0.35">
      <c r="B481" s="28" t="s">
        <v>509</v>
      </c>
      <c r="C481" s="26">
        <v>18688.2012</v>
      </c>
      <c r="D481" s="35" t="str">
        <f t="shared" si="35"/>
        <v>Partner Sales Tooling 201706</v>
      </c>
      <c r="E481" s="33" t="str">
        <f t="shared" si="36"/>
        <v>Partner Sales Tooling</v>
      </c>
      <c r="F481" s="36" t="str">
        <f t="shared" si="37"/>
        <v>06</v>
      </c>
      <c r="G481" s="36" t="str">
        <f t="shared" si="38"/>
        <v>2017</v>
      </c>
      <c r="H481" s="30">
        <f t="shared" si="39"/>
        <v>18688.2012</v>
      </c>
    </row>
    <row r="482" spans="2:8" x14ac:dyDescent="0.35">
      <c r="B482" s="28" t="s">
        <v>510</v>
      </c>
      <c r="C482" s="26">
        <v>-2385.0819999999999</v>
      </c>
      <c r="D482" s="35" t="str">
        <f t="shared" si="35"/>
        <v>Sales - Discounts 201706</v>
      </c>
      <c r="E482" s="33" t="str">
        <f t="shared" si="36"/>
        <v>Sales - Discounts</v>
      </c>
      <c r="F482" s="36" t="str">
        <f t="shared" si="37"/>
        <v>06</v>
      </c>
      <c r="G482" s="36" t="str">
        <f t="shared" si="38"/>
        <v>2017</v>
      </c>
      <c r="H482" s="30">
        <f t="shared" si="39"/>
        <v>-2385.0819999999999</v>
      </c>
    </row>
    <row r="483" spans="2:8" x14ac:dyDescent="0.35">
      <c r="B483" s="28" t="s">
        <v>511</v>
      </c>
      <c r="C483" s="26">
        <v>683.97730000000001</v>
      </c>
      <c r="D483" s="35" t="str">
        <f t="shared" si="35"/>
        <v>Sales - Freight Out 201706</v>
      </c>
      <c r="E483" s="33" t="str">
        <f t="shared" si="36"/>
        <v>Sales - Freight Out</v>
      </c>
      <c r="F483" s="36" t="str">
        <f t="shared" si="37"/>
        <v>06</v>
      </c>
      <c r="G483" s="36" t="str">
        <f t="shared" si="38"/>
        <v>2017</v>
      </c>
      <c r="H483" s="30">
        <f t="shared" si="39"/>
        <v>683.97730000000001</v>
      </c>
    </row>
    <row r="484" spans="2:8" x14ac:dyDescent="0.35">
      <c r="B484" s="28" t="s">
        <v>512</v>
      </c>
      <c r="C484" s="26">
        <v>-7960.0374999999995</v>
      </c>
      <c r="D484" s="35" t="str">
        <f t="shared" si="35"/>
        <v>Sales - Returns 201706</v>
      </c>
      <c r="E484" s="33" t="str">
        <f t="shared" si="36"/>
        <v>Sales - Returns</v>
      </c>
      <c r="F484" s="36" t="str">
        <f t="shared" si="37"/>
        <v>06</v>
      </c>
      <c r="G484" s="36" t="str">
        <f t="shared" si="38"/>
        <v>2017</v>
      </c>
      <c r="H484" s="30">
        <f t="shared" si="39"/>
        <v>-7960.0374999999995</v>
      </c>
    </row>
    <row r="485" spans="2:8" x14ac:dyDescent="0.35">
      <c r="B485" s="28" t="s">
        <v>513</v>
      </c>
      <c r="C485" s="26">
        <v>-190677.93029999998</v>
      </c>
      <c r="D485" s="35" t="str">
        <f t="shared" si="35"/>
        <v>Automotive Sales 201707</v>
      </c>
      <c r="E485" s="33" t="str">
        <f t="shared" si="36"/>
        <v>Automotive Sales</v>
      </c>
      <c r="F485" s="36" t="str">
        <f t="shared" si="37"/>
        <v>07</v>
      </c>
      <c r="G485" s="36" t="str">
        <f t="shared" si="38"/>
        <v>2017</v>
      </c>
      <c r="H485" s="30">
        <f t="shared" si="39"/>
        <v>-190677.93029999998</v>
      </c>
    </row>
    <row r="486" spans="2:8" x14ac:dyDescent="0.35">
      <c r="B486" s="28" t="s">
        <v>514</v>
      </c>
      <c r="C486" s="26">
        <v>0</v>
      </c>
      <c r="D486" s="35" t="str">
        <f t="shared" si="35"/>
        <v>Automotive Sales Tooling 201707</v>
      </c>
      <c r="E486" s="33" t="str">
        <f t="shared" si="36"/>
        <v>Automotive Sales Tooling</v>
      </c>
      <c r="F486" s="36" t="str">
        <f t="shared" si="37"/>
        <v>07</v>
      </c>
      <c r="G486" s="36" t="str">
        <f t="shared" si="38"/>
        <v>2017</v>
      </c>
      <c r="H486" s="30">
        <f t="shared" si="39"/>
        <v>0</v>
      </c>
    </row>
    <row r="487" spans="2:8" x14ac:dyDescent="0.35">
      <c r="B487" s="28" t="s">
        <v>515</v>
      </c>
      <c r="C487" s="26">
        <v>-852202.32799999998</v>
      </c>
      <c r="D487" s="35" t="str">
        <f t="shared" si="35"/>
        <v>Bulk Sales 201707</v>
      </c>
      <c r="E487" s="33" t="str">
        <f t="shared" si="36"/>
        <v>Bulk Sales</v>
      </c>
      <c r="F487" s="36" t="str">
        <f t="shared" si="37"/>
        <v>07</v>
      </c>
      <c r="G487" s="36" t="str">
        <f t="shared" si="38"/>
        <v>2017</v>
      </c>
      <c r="H487" s="30">
        <f t="shared" si="39"/>
        <v>-852202.32799999998</v>
      </c>
    </row>
    <row r="488" spans="2:8" x14ac:dyDescent="0.35">
      <c r="B488" s="28" t="s">
        <v>516</v>
      </c>
      <c r="C488" s="26">
        <v>-85320</v>
      </c>
      <c r="D488" s="35" t="str">
        <f t="shared" si="35"/>
        <v>Bulk Sales Tooling 201707</v>
      </c>
      <c r="E488" s="33" t="str">
        <f t="shared" si="36"/>
        <v>Bulk Sales Tooling</v>
      </c>
      <c r="F488" s="36" t="str">
        <f t="shared" si="37"/>
        <v>07</v>
      </c>
      <c r="G488" s="36" t="str">
        <f t="shared" si="38"/>
        <v>2017</v>
      </c>
      <c r="H488" s="30">
        <f t="shared" si="39"/>
        <v>-85320</v>
      </c>
    </row>
    <row r="489" spans="2:8" x14ac:dyDescent="0.35">
      <c r="B489" s="28" t="s">
        <v>517</v>
      </c>
      <c r="C489" s="26">
        <v>-547063.68559999997</v>
      </c>
      <c r="D489" s="35" t="str">
        <f t="shared" si="35"/>
        <v>Consumer Sales 201707</v>
      </c>
      <c r="E489" s="33" t="str">
        <f t="shared" si="36"/>
        <v>Consumer Sales</v>
      </c>
      <c r="F489" s="36" t="str">
        <f t="shared" si="37"/>
        <v>07</v>
      </c>
      <c r="G489" s="36" t="str">
        <f t="shared" si="38"/>
        <v>2017</v>
      </c>
      <c r="H489" s="30">
        <f t="shared" si="39"/>
        <v>-547063.68559999997</v>
      </c>
    </row>
    <row r="490" spans="2:8" x14ac:dyDescent="0.35">
      <c r="B490" s="28" t="s">
        <v>518</v>
      </c>
      <c r="C490" s="26">
        <v>-95525.28</v>
      </c>
      <c r="D490" s="35" t="str">
        <f t="shared" si="35"/>
        <v>Consumer Sales Tooling 201707</v>
      </c>
      <c r="E490" s="33" t="str">
        <f t="shared" si="36"/>
        <v>Consumer Sales Tooling</v>
      </c>
      <c r="F490" s="36" t="str">
        <f t="shared" si="37"/>
        <v>07</v>
      </c>
      <c r="G490" s="36" t="str">
        <f t="shared" si="38"/>
        <v>2017</v>
      </c>
      <c r="H490" s="30">
        <f t="shared" si="39"/>
        <v>-95525.28</v>
      </c>
    </row>
    <row r="491" spans="2:8" x14ac:dyDescent="0.35">
      <c r="B491" s="28" t="s">
        <v>519</v>
      </c>
      <c r="C491" s="26">
        <v>-36923.760000000002</v>
      </c>
      <c r="D491" s="35" t="str">
        <f t="shared" si="35"/>
        <v>Electronics Sales 201707</v>
      </c>
      <c r="E491" s="33" t="str">
        <f t="shared" si="36"/>
        <v>Electronics Sales</v>
      </c>
      <c r="F491" s="36" t="str">
        <f t="shared" si="37"/>
        <v>07</v>
      </c>
      <c r="G491" s="36" t="str">
        <f t="shared" si="38"/>
        <v>2017</v>
      </c>
      <c r="H491" s="30">
        <f t="shared" si="39"/>
        <v>-36923.760000000002</v>
      </c>
    </row>
    <row r="492" spans="2:8" x14ac:dyDescent="0.35">
      <c r="B492" s="28" t="s">
        <v>520</v>
      </c>
      <c r="C492" s="26">
        <v>0</v>
      </c>
      <c r="D492" s="35" t="str">
        <f t="shared" si="35"/>
        <v>Electronics Sales Tooling 201707</v>
      </c>
      <c r="E492" s="33" t="str">
        <f t="shared" si="36"/>
        <v>Electronics Sales Tooling</v>
      </c>
      <c r="F492" s="36" t="str">
        <f t="shared" si="37"/>
        <v>07</v>
      </c>
      <c r="G492" s="36" t="str">
        <f t="shared" si="38"/>
        <v>2017</v>
      </c>
      <c r="H492" s="30">
        <f t="shared" si="39"/>
        <v>0</v>
      </c>
    </row>
    <row r="493" spans="2:8" x14ac:dyDescent="0.35">
      <c r="B493" s="28" t="s">
        <v>521</v>
      </c>
      <c r="C493" s="26">
        <v>-114968.43</v>
      </c>
      <c r="D493" s="35" t="str">
        <f t="shared" si="35"/>
        <v>Mechanic Sales 201707</v>
      </c>
      <c r="E493" s="33" t="str">
        <f t="shared" si="36"/>
        <v>Mechanic Sales</v>
      </c>
      <c r="F493" s="36" t="str">
        <f t="shared" si="37"/>
        <v>07</v>
      </c>
      <c r="G493" s="36" t="str">
        <f t="shared" si="38"/>
        <v>2017</v>
      </c>
      <c r="H493" s="30">
        <f t="shared" si="39"/>
        <v>-114968.43</v>
      </c>
    </row>
    <row r="494" spans="2:8" x14ac:dyDescent="0.35">
      <c r="B494" s="28" t="s">
        <v>522</v>
      </c>
      <c r="C494" s="26">
        <v>-14494.8</v>
      </c>
      <c r="D494" s="35" t="str">
        <f t="shared" si="35"/>
        <v>Mechanic Sales Tooling 201707</v>
      </c>
      <c r="E494" s="33" t="str">
        <f t="shared" si="36"/>
        <v>Mechanic Sales Tooling</v>
      </c>
      <c r="F494" s="36" t="str">
        <f t="shared" si="37"/>
        <v>07</v>
      </c>
      <c r="G494" s="36" t="str">
        <f t="shared" si="38"/>
        <v>2017</v>
      </c>
      <c r="H494" s="30">
        <f t="shared" si="39"/>
        <v>-14494.8</v>
      </c>
    </row>
    <row r="495" spans="2:8" x14ac:dyDescent="0.35">
      <c r="B495" s="28" t="s">
        <v>523</v>
      </c>
      <c r="C495" s="26">
        <v>0</v>
      </c>
      <c r="D495" s="35" t="str">
        <f t="shared" si="35"/>
        <v>Non Operating sales201707</v>
      </c>
      <c r="E495" s="33" t="str">
        <f t="shared" si="36"/>
        <v>Non Operating sale</v>
      </c>
      <c r="F495" s="36" t="str">
        <f t="shared" si="37"/>
        <v>07</v>
      </c>
      <c r="G495" s="36" t="str">
        <f t="shared" si="38"/>
        <v>2017</v>
      </c>
      <c r="H495" s="30">
        <f t="shared" si="39"/>
        <v>0</v>
      </c>
    </row>
    <row r="496" spans="2:8" x14ac:dyDescent="0.35">
      <c r="B496" s="28" t="s">
        <v>524</v>
      </c>
      <c r="C496" s="26">
        <v>-199371.2702</v>
      </c>
      <c r="D496" s="35" t="str">
        <f t="shared" si="35"/>
        <v>Partner Sales 201707</v>
      </c>
      <c r="E496" s="33" t="str">
        <f t="shared" si="36"/>
        <v>Partner Sales</v>
      </c>
      <c r="F496" s="36" t="str">
        <f t="shared" si="37"/>
        <v>07</v>
      </c>
      <c r="G496" s="36" t="str">
        <f t="shared" si="38"/>
        <v>2017</v>
      </c>
      <c r="H496" s="30">
        <f t="shared" si="39"/>
        <v>-199371.2702</v>
      </c>
    </row>
    <row r="497" spans="2:8" x14ac:dyDescent="0.35">
      <c r="B497" s="28" t="s">
        <v>525</v>
      </c>
      <c r="C497" s="26">
        <v>-22011.4074</v>
      </c>
      <c r="D497" s="35" t="str">
        <f t="shared" si="35"/>
        <v>Partner Sales Tooling 201707</v>
      </c>
      <c r="E497" s="33" t="str">
        <f t="shared" si="36"/>
        <v>Partner Sales Tooling</v>
      </c>
      <c r="F497" s="36" t="str">
        <f t="shared" si="37"/>
        <v>07</v>
      </c>
      <c r="G497" s="36" t="str">
        <f t="shared" si="38"/>
        <v>2017</v>
      </c>
      <c r="H497" s="30">
        <f t="shared" si="39"/>
        <v>-22011.4074</v>
      </c>
    </row>
    <row r="498" spans="2:8" x14ac:dyDescent="0.35">
      <c r="B498" s="28" t="s">
        <v>526</v>
      </c>
      <c r="C498" s="26">
        <v>-2922.0799999999995</v>
      </c>
      <c r="D498" s="35" t="str">
        <f t="shared" si="35"/>
        <v>Sales - Discounts 201707</v>
      </c>
      <c r="E498" s="33" t="str">
        <f t="shared" si="36"/>
        <v>Sales - Discounts</v>
      </c>
      <c r="F498" s="36" t="str">
        <f t="shared" si="37"/>
        <v>07</v>
      </c>
      <c r="G498" s="36" t="str">
        <f t="shared" si="38"/>
        <v>2017</v>
      </c>
      <c r="H498" s="30">
        <f t="shared" si="39"/>
        <v>-2922.0799999999995</v>
      </c>
    </row>
    <row r="499" spans="2:8" x14ac:dyDescent="0.35">
      <c r="B499" s="28" t="s">
        <v>527</v>
      </c>
      <c r="C499" s="26">
        <v>892.19929999999999</v>
      </c>
      <c r="D499" s="35" t="str">
        <f t="shared" si="35"/>
        <v>Sales - Freight Out 201707</v>
      </c>
      <c r="E499" s="33" t="str">
        <f t="shared" si="36"/>
        <v>Sales - Freight Out</v>
      </c>
      <c r="F499" s="36" t="str">
        <f t="shared" si="37"/>
        <v>07</v>
      </c>
      <c r="G499" s="36" t="str">
        <f t="shared" si="38"/>
        <v>2017</v>
      </c>
      <c r="H499" s="30">
        <f t="shared" si="39"/>
        <v>892.19929999999999</v>
      </c>
    </row>
    <row r="500" spans="2:8" x14ac:dyDescent="0.35">
      <c r="B500" s="28" t="s">
        <v>528</v>
      </c>
      <c r="C500" s="26">
        <v>-10158.275</v>
      </c>
      <c r="D500" s="35" t="str">
        <f t="shared" si="35"/>
        <v>Sales - Returns 201707</v>
      </c>
      <c r="E500" s="33" t="str">
        <f t="shared" si="36"/>
        <v>Sales - Returns</v>
      </c>
      <c r="F500" s="36" t="str">
        <f t="shared" si="37"/>
        <v>07</v>
      </c>
      <c r="G500" s="36" t="str">
        <f t="shared" si="38"/>
        <v>2017</v>
      </c>
      <c r="H500" s="30">
        <f t="shared" si="39"/>
        <v>-10158.275</v>
      </c>
    </row>
    <row r="501" spans="2:8" x14ac:dyDescent="0.35">
      <c r="B501" s="28" t="s">
        <v>529</v>
      </c>
      <c r="C501" s="26">
        <v>150479.78659999999</v>
      </c>
      <c r="D501" s="35" t="str">
        <f t="shared" si="35"/>
        <v>Automotive Sales 201708</v>
      </c>
      <c r="E501" s="33" t="str">
        <f t="shared" si="36"/>
        <v>Automotive Sales</v>
      </c>
      <c r="F501" s="36" t="str">
        <f t="shared" si="37"/>
        <v>08</v>
      </c>
      <c r="G501" s="36" t="str">
        <f t="shared" si="38"/>
        <v>2017</v>
      </c>
      <c r="H501" s="30">
        <f t="shared" si="39"/>
        <v>150479.78659999999</v>
      </c>
    </row>
    <row r="502" spans="2:8" x14ac:dyDescent="0.35">
      <c r="B502" s="28" t="s">
        <v>530</v>
      </c>
      <c r="C502" s="26">
        <v>4876</v>
      </c>
      <c r="D502" s="35" t="str">
        <f t="shared" si="35"/>
        <v>Automotive Sales Tooling 201708</v>
      </c>
      <c r="E502" s="33" t="str">
        <f t="shared" si="36"/>
        <v>Automotive Sales Tooling</v>
      </c>
      <c r="F502" s="36" t="str">
        <f t="shared" si="37"/>
        <v>08</v>
      </c>
      <c r="G502" s="36" t="str">
        <f t="shared" si="38"/>
        <v>2017</v>
      </c>
      <c r="H502" s="30">
        <f t="shared" si="39"/>
        <v>4876</v>
      </c>
    </row>
    <row r="503" spans="2:8" x14ac:dyDescent="0.35">
      <c r="B503" s="28" t="s">
        <v>531</v>
      </c>
      <c r="C503" s="26">
        <v>528608.74340000004</v>
      </c>
      <c r="D503" s="35" t="str">
        <f t="shared" si="35"/>
        <v>Bulk Sales 201708</v>
      </c>
      <c r="E503" s="33" t="str">
        <f t="shared" si="36"/>
        <v>Bulk Sales</v>
      </c>
      <c r="F503" s="36" t="str">
        <f t="shared" si="37"/>
        <v>08</v>
      </c>
      <c r="G503" s="36" t="str">
        <f t="shared" si="38"/>
        <v>2017</v>
      </c>
      <c r="H503" s="30">
        <f t="shared" si="39"/>
        <v>528608.74340000004</v>
      </c>
    </row>
    <row r="504" spans="2:8" x14ac:dyDescent="0.35">
      <c r="B504" s="28" t="s">
        <v>532</v>
      </c>
      <c r="C504" s="26">
        <v>0</v>
      </c>
      <c r="D504" s="35" t="str">
        <f t="shared" si="35"/>
        <v>Bulk Sales Tooling 201708</v>
      </c>
      <c r="E504" s="33" t="str">
        <f t="shared" si="36"/>
        <v>Bulk Sales Tooling</v>
      </c>
      <c r="F504" s="36" t="str">
        <f t="shared" si="37"/>
        <v>08</v>
      </c>
      <c r="G504" s="36" t="str">
        <f t="shared" si="38"/>
        <v>2017</v>
      </c>
      <c r="H504" s="30">
        <f t="shared" si="39"/>
        <v>0</v>
      </c>
    </row>
    <row r="505" spans="2:8" x14ac:dyDescent="0.35">
      <c r="B505" s="28" t="s">
        <v>533</v>
      </c>
      <c r="C505" s="26">
        <v>385924.42560000002</v>
      </c>
      <c r="D505" s="35" t="str">
        <f t="shared" si="35"/>
        <v>Consumer Sales 201708</v>
      </c>
      <c r="E505" s="33" t="str">
        <f t="shared" si="36"/>
        <v>Consumer Sales</v>
      </c>
      <c r="F505" s="36" t="str">
        <f t="shared" si="37"/>
        <v>08</v>
      </c>
      <c r="G505" s="36" t="str">
        <f t="shared" si="38"/>
        <v>2017</v>
      </c>
      <c r="H505" s="30">
        <f t="shared" si="39"/>
        <v>385924.42560000002</v>
      </c>
    </row>
    <row r="506" spans="2:8" x14ac:dyDescent="0.35">
      <c r="B506" s="28" t="s">
        <v>534</v>
      </c>
      <c r="C506" s="26">
        <v>23760</v>
      </c>
      <c r="D506" s="35" t="str">
        <f t="shared" si="35"/>
        <v>Consumer Sales Tooling 201708</v>
      </c>
      <c r="E506" s="33" t="str">
        <f t="shared" si="36"/>
        <v>Consumer Sales Tooling</v>
      </c>
      <c r="F506" s="36" t="str">
        <f t="shared" si="37"/>
        <v>08</v>
      </c>
      <c r="G506" s="36" t="str">
        <f t="shared" si="38"/>
        <v>2017</v>
      </c>
      <c r="H506" s="30">
        <f t="shared" si="39"/>
        <v>23760</v>
      </c>
    </row>
    <row r="507" spans="2:8" x14ac:dyDescent="0.35">
      <c r="B507" s="28" t="s">
        <v>535</v>
      </c>
      <c r="C507" s="26">
        <v>0</v>
      </c>
      <c r="D507" s="35" t="str">
        <f t="shared" si="35"/>
        <v>Electronics Sales 201708</v>
      </c>
      <c r="E507" s="33" t="str">
        <f t="shared" si="36"/>
        <v>Electronics Sales</v>
      </c>
      <c r="F507" s="36" t="str">
        <f t="shared" si="37"/>
        <v>08</v>
      </c>
      <c r="G507" s="36" t="str">
        <f t="shared" si="38"/>
        <v>2017</v>
      </c>
      <c r="H507" s="30">
        <f t="shared" si="39"/>
        <v>0</v>
      </c>
    </row>
    <row r="508" spans="2:8" x14ac:dyDescent="0.35">
      <c r="B508" s="28" t="s">
        <v>536</v>
      </c>
      <c r="C508" s="26">
        <v>-5711.9999999999991</v>
      </c>
      <c r="D508" s="35" t="str">
        <f t="shared" si="35"/>
        <v>Electronics Sales Tooling 201708</v>
      </c>
      <c r="E508" s="33" t="str">
        <f t="shared" si="36"/>
        <v>Electronics Sales Tooling</v>
      </c>
      <c r="F508" s="36" t="str">
        <f t="shared" si="37"/>
        <v>08</v>
      </c>
      <c r="G508" s="36" t="str">
        <f t="shared" si="38"/>
        <v>2017</v>
      </c>
      <c r="H508" s="30">
        <f t="shared" si="39"/>
        <v>-5711.9999999999991</v>
      </c>
    </row>
    <row r="509" spans="2:8" x14ac:dyDescent="0.35">
      <c r="B509" s="28" t="s">
        <v>537</v>
      </c>
      <c r="C509" s="26">
        <v>55877.850000000006</v>
      </c>
      <c r="D509" s="35" t="str">
        <f t="shared" si="35"/>
        <v>Mechanic Sales 201708</v>
      </c>
      <c r="E509" s="33" t="str">
        <f t="shared" si="36"/>
        <v>Mechanic Sales</v>
      </c>
      <c r="F509" s="36" t="str">
        <f t="shared" si="37"/>
        <v>08</v>
      </c>
      <c r="G509" s="36" t="str">
        <f t="shared" si="38"/>
        <v>2017</v>
      </c>
      <c r="H509" s="30">
        <f t="shared" si="39"/>
        <v>55877.850000000006</v>
      </c>
    </row>
    <row r="510" spans="2:8" x14ac:dyDescent="0.35">
      <c r="B510" s="28" t="s">
        <v>538</v>
      </c>
      <c r="C510" s="26">
        <v>0</v>
      </c>
      <c r="D510" s="35" t="str">
        <f t="shared" si="35"/>
        <v>Mechanic Sales Tooling 201708</v>
      </c>
      <c r="E510" s="33" t="str">
        <f t="shared" si="36"/>
        <v>Mechanic Sales Tooling</v>
      </c>
      <c r="F510" s="36" t="str">
        <f t="shared" si="37"/>
        <v>08</v>
      </c>
      <c r="G510" s="36" t="str">
        <f t="shared" si="38"/>
        <v>2017</v>
      </c>
      <c r="H510" s="30">
        <f t="shared" si="39"/>
        <v>0</v>
      </c>
    </row>
    <row r="511" spans="2:8" x14ac:dyDescent="0.35">
      <c r="B511" s="28" t="s">
        <v>539</v>
      </c>
      <c r="C511" s="26">
        <v>0</v>
      </c>
      <c r="D511" s="35" t="str">
        <f t="shared" si="35"/>
        <v>Non Operating sales201708</v>
      </c>
      <c r="E511" s="33" t="str">
        <f t="shared" si="36"/>
        <v>Non Operating sale</v>
      </c>
      <c r="F511" s="36" t="str">
        <f t="shared" si="37"/>
        <v>08</v>
      </c>
      <c r="G511" s="36" t="str">
        <f t="shared" si="38"/>
        <v>2017</v>
      </c>
      <c r="H511" s="30">
        <f t="shared" si="39"/>
        <v>0</v>
      </c>
    </row>
    <row r="512" spans="2:8" x14ac:dyDescent="0.35">
      <c r="B512" s="28" t="s">
        <v>540</v>
      </c>
      <c r="C512" s="26">
        <v>203951.6716</v>
      </c>
      <c r="D512" s="35" t="str">
        <f t="shared" si="35"/>
        <v>Partner Sales 201708</v>
      </c>
      <c r="E512" s="33" t="str">
        <f t="shared" si="36"/>
        <v>Partner Sales</v>
      </c>
      <c r="F512" s="36" t="str">
        <f t="shared" si="37"/>
        <v>08</v>
      </c>
      <c r="G512" s="36" t="str">
        <f t="shared" si="38"/>
        <v>2017</v>
      </c>
      <c r="H512" s="30">
        <f t="shared" si="39"/>
        <v>203951.6716</v>
      </c>
    </row>
    <row r="513" spans="2:8" x14ac:dyDescent="0.35">
      <c r="B513" s="28" t="s">
        <v>541</v>
      </c>
      <c r="C513" s="26">
        <v>0</v>
      </c>
      <c r="D513" s="35" t="str">
        <f t="shared" si="35"/>
        <v>Partner Sales Tooling 201708</v>
      </c>
      <c r="E513" s="33" t="str">
        <f t="shared" si="36"/>
        <v>Partner Sales Tooling</v>
      </c>
      <c r="F513" s="36" t="str">
        <f t="shared" si="37"/>
        <v>08</v>
      </c>
      <c r="G513" s="36" t="str">
        <f t="shared" si="38"/>
        <v>2017</v>
      </c>
      <c r="H513" s="30">
        <f t="shared" si="39"/>
        <v>0</v>
      </c>
    </row>
    <row r="514" spans="2:8" x14ac:dyDescent="0.35">
      <c r="B514" s="28" t="s">
        <v>542</v>
      </c>
      <c r="C514" s="26">
        <v>-5055.9179999999997</v>
      </c>
      <c r="D514" s="35" t="str">
        <f t="shared" si="35"/>
        <v>Sales - Discounts 201708</v>
      </c>
      <c r="E514" s="33" t="str">
        <f t="shared" si="36"/>
        <v>Sales - Discounts</v>
      </c>
      <c r="F514" s="36" t="str">
        <f t="shared" si="37"/>
        <v>08</v>
      </c>
      <c r="G514" s="36" t="str">
        <f t="shared" si="38"/>
        <v>2017</v>
      </c>
      <c r="H514" s="30">
        <f t="shared" si="39"/>
        <v>-5055.9179999999997</v>
      </c>
    </row>
    <row r="515" spans="2:8" x14ac:dyDescent="0.35">
      <c r="B515" s="28" t="s">
        <v>543</v>
      </c>
      <c r="C515" s="26">
        <v>7123.2913000000008</v>
      </c>
      <c r="D515" s="35" t="str">
        <f t="shared" si="35"/>
        <v>Sales - Freight Out 201708</v>
      </c>
      <c r="E515" s="33" t="str">
        <f t="shared" si="36"/>
        <v>Sales - Freight Out</v>
      </c>
      <c r="F515" s="36" t="str">
        <f t="shared" si="37"/>
        <v>08</v>
      </c>
      <c r="G515" s="36" t="str">
        <f t="shared" si="38"/>
        <v>2017</v>
      </c>
      <c r="H515" s="30">
        <f t="shared" si="39"/>
        <v>7123.2913000000008</v>
      </c>
    </row>
    <row r="516" spans="2:8" x14ac:dyDescent="0.35">
      <c r="B516" s="28" t="s">
        <v>544</v>
      </c>
      <c r="C516" s="26">
        <v>-9846.6625000000004</v>
      </c>
      <c r="D516" s="35" t="str">
        <f t="shared" si="35"/>
        <v>Sales - Returns 201708</v>
      </c>
      <c r="E516" s="33" t="str">
        <f t="shared" si="36"/>
        <v>Sales - Returns</v>
      </c>
      <c r="F516" s="36" t="str">
        <f t="shared" si="37"/>
        <v>08</v>
      </c>
      <c r="G516" s="36" t="str">
        <f t="shared" si="38"/>
        <v>2017</v>
      </c>
      <c r="H516" s="30">
        <f t="shared" si="39"/>
        <v>-9846.6625000000004</v>
      </c>
    </row>
    <row r="517" spans="2:8" x14ac:dyDescent="0.35">
      <c r="B517" s="28" t="s">
        <v>545</v>
      </c>
      <c r="C517" s="26">
        <v>122355.21869999998</v>
      </c>
      <c r="D517" s="35" t="str">
        <f t="shared" si="35"/>
        <v>Automotive Sales 201709</v>
      </c>
      <c r="E517" s="33" t="str">
        <f t="shared" si="36"/>
        <v>Automotive Sales</v>
      </c>
      <c r="F517" s="36" t="str">
        <f t="shared" si="37"/>
        <v>09</v>
      </c>
      <c r="G517" s="36" t="str">
        <f t="shared" si="38"/>
        <v>2017</v>
      </c>
      <c r="H517" s="30">
        <f t="shared" si="39"/>
        <v>122355.21869999998</v>
      </c>
    </row>
    <row r="518" spans="2:8" x14ac:dyDescent="0.35">
      <c r="B518" s="28" t="s">
        <v>546</v>
      </c>
      <c r="C518" s="26">
        <v>11183</v>
      </c>
      <c r="D518" s="35" t="str">
        <f t="shared" ref="D518:D580" si="40">TRIM(B518)</f>
        <v>Automotive Sales Tooling 201709</v>
      </c>
      <c r="E518" s="33" t="str">
        <f t="shared" ref="E518:E580" si="41">LEFT(D518,LEN(D518)-7)</f>
        <v>Automotive Sales Tooling</v>
      </c>
      <c r="F518" s="36" t="str">
        <f t="shared" ref="F518:F580" si="42">RIGHT(D518,2)</f>
        <v>09</v>
      </c>
      <c r="G518" s="36" t="str">
        <f t="shared" ref="G518:G580" si="43">RIGHT(LEFT(D518,LEN(D518)-2),4)</f>
        <v>2017</v>
      </c>
      <c r="H518" s="30">
        <f t="shared" ref="H518:H580" si="44">C518</f>
        <v>11183</v>
      </c>
    </row>
    <row r="519" spans="2:8" x14ac:dyDescent="0.35">
      <c r="B519" s="28" t="s">
        <v>547</v>
      </c>
      <c r="C519" s="26">
        <v>575681.09340000001</v>
      </c>
      <c r="D519" s="35" t="str">
        <f t="shared" si="40"/>
        <v>Bulk Sales 201709</v>
      </c>
      <c r="E519" s="33" t="str">
        <f t="shared" si="41"/>
        <v>Bulk Sales</v>
      </c>
      <c r="F519" s="36" t="str">
        <f t="shared" si="42"/>
        <v>09</v>
      </c>
      <c r="G519" s="36" t="str">
        <f t="shared" si="43"/>
        <v>2017</v>
      </c>
      <c r="H519" s="30">
        <f t="shared" si="44"/>
        <v>575681.09340000001</v>
      </c>
    </row>
    <row r="520" spans="2:8" x14ac:dyDescent="0.35">
      <c r="B520" s="28" t="s">
        <v>548</v>
      </c>
      <c r="C520" s="26">
        <v>4860</v>
      </c>
      <c r="D520" s="35" t="str">
        <f t="shared" si="40"/>
        <v>Bulk Sales Tooling 201709</v>
      </c>
      <c r="E520" s="33" t="str">
        <f t="shared" si="41"/>
        <v>Bulk Sales Tooling</v>
      </c>
      <c r="F520" s="36" t="str">
        <f t="shared" si="42"/>
        <v>09</v>
      </c>
      <c r="G520" s="36" t="str">
        <f t="shared" si="43"/>
        <v>2017</v>
      </c>
      <c r="H520" s="30">
        <f t="shared" si="44"/>
        <v>4860</v>
      </c>
    </row>
    <row r="521" spans="2:8" x14ac:dyDescent="0.35">
      <c r="B521" s="28" t="s">
        <v>549</v>
      </c>
      <c r="C521" s="26">
        <v>293466.22639999999</v>
      </c>
      <c r="D521" s="35" t="str">
        <f t="shared" si="40"/>
        <v>Consumer Sales 201709</v>
      </c>
      <c r="E521" s="33" t="str">
        <f t="shared" si="41"/>
        <v>Consumer Sales</v>
      </c>
      <c r="F521" s="36" t="str">
        <f t="shared" si="42"/>
        <v>09</v>
      </c>
      <c r="G521" s="36" t="str">
        <f t="shared" si="43"/>
        <v>2017</v>
      </c>
      <c r="H521" s="30">
        <f t="shared" si="44"/>
        <v>293466.22639999999</v>
      </c>
    </row>
    <row r="522" spans="2:8" x14ac:dyDescent="0.35">
      <c r="B522" s="28" t="s">
        <v>550</v>
      </c>
      <c r="C522" s="26">
        <v>61020</v>
      </c>
      <c r="D522" s="35" t="str">
        <f t="shared" si="40"/>
        <v>Consumer Sales Tooling 201709</v>
      </c>
      <c r="E522" s="33" t="str">
        <f t="shared" si="41"/>
        <v>Consumer Sales Tooling</v>
      </c>
      <c r="F522" s="36" t="str">
        <f t="shared" si="42"/>
        <v>09</v>
      </c>
      <c r="G522" s="36" t="str">
        <f t="shared" si="43"/>
        <v>2017</v>
      </c>
      <c r="H522" s="30">
        <f t="shared" si="44"/>
        <v>61020</v>
      </c>
    </row>
    <row r="523" spans="2:8" x14ac:dyDescent="0.35">
      <c r="B523" s="28" t="s">
        <v>551</v>
      </c>
      <c r="C523" s="26">
        <v>3830.3999999999996</v>
      </c>
      <c r="D523" s="35" t="str">
        <f t="shared" si="40"/>
        <v>Electronics Sales 201709</v>
      </c>
      <c r="E523" s="33" t="str">
        <f t="shared" si="41"/>
        <v>Electronics Sales</v>
      </c>
      <c r="F523" s="36" t="str">
        <f t="shared" si="42"/>
        <v>09</v>
      </c>
      <c r="G523" s="36" t="str">
        <f t="shared" si="43"/>
        <v>2017</v>
      </c>
      <c r="H523" s="30">
        <f t="shared" si="44"/>
        <v>3830.3999999999996</v>
      </c>
    </row>
    <row r="524" spans="2:8" x14ac:dyDescent="0.35">
      <c r="B524" s="28" t="s">
        <v>552</v>
      </c>
      <c r="C524" s="26">
        <v>5711.9999999999991</v>
      </c>
      <c r="D524" s="35" t="str">
        <f t="shared" si="40"/>
        <v>Electronics Sales Tooling 201709</v>
      </c>
      <c r="E524" s="33" t="str">
        <f t="shared" si="41"/>
        <v>Electronics Sales Tooling</v>
      </c>
      <c r="F524" s="36" t="str">
        <f t="shared" si="42"/>
        <v>09</v>
      </c>
      <c r="G524" s="36" t="str">
        <f t="shared" si="43"/>
        <v>2017</v>
      </c>
      <c r="H524" s="30">
        <f t="shared" si="44"/>
        <v>5711.9999999999991</v>
      </c>
    </row>
    <row r="525" spans="2:8" x14ac:dyDescent="0.35">
      <c r="B525" s="28" t="s">
        <v>553</v>
      </c>
      <c r="C525" s="26">
        <v>0</v>
      </c>
      <c r="D525" s="35" t="str">
        <f t="shared" si="40"/>
        <v>Mechanic Sales 201709</v>
      </c>
      <c r="E525" s="33" t="str">
        <f t="shared" si="41"/>
        <v>Mechanic Sales</v>
      </c>
      <c r="F525" s="36" t="str">
        <f t="shared" si="42"/>
        <v>09</v>
      </c>
      <c r="G525" s="36" t="str">
        <f t="shared" si="43"/>
        <v>2017</v>
      </c>
      <c r="H525" s="30">
        <f t="shared" si="44"/>
        <v>0</v>
      </c>
    </row>
    <row r="526" spans="2:8" x14ac:dyDescent="0.35">
      <c r="B526" s="28" t="s">
        <v>554</v>
      </c>
      <c r="C526" s="26">
        <v>40842.06</v>
      </c>
      <c r="D526" s="35" t="str">
        <f t="shared" si="40"/>
        <v>Mechanic Sales Tooling 201709</v>
      </c>
      <c r="E526" s="33" t="str">
        <f t="shared" si="41"/>
        <v>Mechanic Sales Tooling</v>
      </c>
      <c r="F526" s="36" t="str">
        <f t="shared" si="42"/>
        <v>09</v>
      </c>
      <c r="G526" s="36" t="str">
        <f t="shared" si="43"/>
        <v>2017</v>
      </c>
      <c r="H526" s="30">
        <f t="shared" si="44"/>
        <v>40842.06</v>
      </c>
    </row>
    <row r="527" spans="2:8" x14ac:dyDescent="0.35">
      <c r="B527" s="28" t="s">
        <v>555</v>
      </c>
      <c r="C527" s="26">
        <v>0</v>
      </c>
      <c r="D527" s="35" t="str">
        <f t="shared" si="40"/>
        <v>Non Operating sales201709</v>
      </c>
      <c r="E527" s="33" t="str">
        <f t="shared" si="41"/>
        <v>Non Operating sale</v>
      </c>
      <c r="F527" s="36" t="str">
        <f t="shared" si="42"/>
        <v>09</v>
      </c>
      <c r="G527" s="36" t="str">
        <f t="shared" si="43"/>
        <v>2017</v>
      </c>
      <c r="H527" s="30">
        <f t="shared" si="44"/>
        <v>0</v>
      </c>
    </row>
    <row r="528" spans="2:8" x14ac:dyDescent="0.35">
      <c r="B528" s="28" t="s">
        <v>556</v>
      </c>
      <c r="C528" s="26">
        <v>103841.74559999999</v>
      </c>
      <c r="D528" s="35" t="str">
        <f t="shared" si="40"/>
        <v>Partner Sales 201709</v>
      </c>
      <c r="E528" s="33" t="str">
        <f t="shared" si="41"/>
        <v>Partner Sales</v>
      </c>
      <c r="F528" s="36" t="str">
        <f t="shared" si="42"/>
        <v>09</v>
      </c>
      <c r="G528" s="36" t="str">
        <f t="shared" si="43"/>
        <v>2017</v>
      </c>
      <c r="H528" s="30">
        <f t="shared" si="44"/>
        <v>103841.74559999999</v>
      </c>
    </row>
    <row r="529" spans="2:8" x14ac:dyDescent="0.35">
      <c r="B529" s="28" t="s">
        <v>557</v>
      </c>
      <c r="C529" s="26">
        <v>15382.199999999999</v>
      </c>
      <c r="D529" s="35" t="str">
        <f t="shared" si="40"/>
        <v>Partner Sales Tooling 201709</v>
      </c>
      <c r="E529" s="33" t="str">
        <f t="shared" si="41"/>
        <v>Partner Sales Tooling</v>
      </c>
      <c r="F529" s="36" t="str">
        <f t="shared" si="42"/>
        <v>09</v>
      </c>
      <c r="G529" s="36" t="str">
        <f t="shared" si="43"/>
        <v>2017</v>
      </c>
      <c r="H529" s="30">
        <f t="shared" si="44"/>
        <v>15382.199999999999</v>
      </c>
    </row>
    <row r="530" spans="2:8" x14ac:dyDescent="0.35">
      <c r="B530" s="28" t="s">
        <v>558</v>
      </c>
      <c r="C530" s="26">
        <v>-943.69799999999998</v>
      </c>
      <c r="D530" s="35" t="str">
        <f t="shared" si="40"/>
        <v>Sales - Discounts 201709</v>
      </c>
      <c r="E530" s="33" t="str">
        <f t="shared" si="41"/>
        <v>Sales - Discounts</v>
      </c>
      <c r="F530" s="36" t="str">
        <f t="shared" si="42"/>
        <v>09</v>
      </c>
      <c r="G530" s="36" t="str">
        <f t="shared" si="43"/>
        <v>2017</v>
      </c>
      <c r="H530" s="30">
        <f t="shared" si="44"/>
        <v>-943.69799999999998</v>
      </c>
    </row>
    <row r="531" spans="2:8" x14ac:dyDescent="0.35">
      <c r="B531" s="28" t="s">
        <v>559</v>
      </c>
      <c r="C531" s="26">
        <v>177.0582</v>
      </c>
      <c r="D531" s="35" t="str">
        <f t="shared" si="40"/>
        <v>Sales - Freight Out 201709</v>
      </c>
      <c r="E531" s="33" t="str">
        <f t="shared" si="41"/>
        <v>Sales - Freight Out</v>
      </c>
      <c r="F531" s="36" t="str">
        <f t="shared" si="42"/>
        <v>09</v>
      </c>
      <c r="G531" s="36" t="str">
        <f t="shared" si="43"/>
        <v>2017</v>
      </c>
      <c r="H531" s="30">
        <f t="shared" si="44"/>
        <v>177.0582</v>
      </c>
    </row>
    <row r="532" spans="2:8" x14ac:dyDescent="0.35">
      <c r="B532" s="28" t="s">
        <v>560</v>
      </c>
      <c r="C532" s="26">
        <v>-23151.45</v>
      </c>
      <c r="D532" s="35" t="str">
        <f t="shared" si="40"/>
        <v>Sales - Returns 201709</v>
      </c>
      <c r="E532" s="33" t="str">
        <f t="shared" si="41"/>
        <v>Sales - Returns</v>
      </c>
      <c r="F532" s="36" t="str">
        <f t="shared" si="42"/>
        <v>09</v>
      </c>
      <c r="G532" s="36" t="str">
        <f t="shared" si="43"/>
        <v>2017</v>
      </c>
      <c r="H532" s="30">
        <f t="shared" si="44"/>
        <v>-23151.45</v>
      </c>
    </row>
    <row r="533" spans="2:8" x14ac:dyDescent="0.35">
      <c r="B533" s="28" t="s">
        <v>561</v>
      </c>
      <c r="C533" s="26">
        <v>345223.06390000001</v>
      </c>
      <c r="D533" s="35" t="str">
        <f t="shared" si="40"/>
        <v>Automotive Sales 201710</v>
      </c>
      <c r="E533" s="33" t="str">
        <f t="shared" si="41"/>
        <v>Automotive Sales</v>
      </c>
      <c r="F533" s="36" t="str">
        <f t="shared" si="42"/>
        <v>10</v>
      </c>
      <c r="G533" s="36" t="str">
        <f t="shared" si="43"/>
        <v>2017</v>
      </c>
      <c r="H533" s="30">
        <f t="shared" si="44"/>
        <v>345223.06390000001</v>
      </c>
    </row>
    <row r="534" spans="2:8" x14ac:dyDescent="0.35">
      <c r="B534" s="28" t="s">
        <v>562</v>
      </c>
      <c r="C534" s="26">
        <v>0</v>
      </c>
      <c r="D534" s="35" t="str">
        <f t="shared" si="40"/>
        <v>Automotive Sales Tooling 201710</v>
      </c>
      <c r="E534" s="33" t="str">
        <f t="shared" si="41"/>
        <v>Automotive Sales Tooling</v>
      </c>
      <c r="F534" s="36" t="str">
        <f t="shared" si="42"/>
        <v>10</v>
      </c>
      <c r="G534" s="36" t="str">
        <f t="shared" si="43"/>
        <v>2017</v>
      </c>
      <c r="H534" s="30">
        <f t="shared" si="44"/>
        <v>0</v>
      </c>
    </row>
    <row r="535" spans="2:8" x14ac:dyDescent="0.35">
      <c r="B535" s="28" t="s">
        <v>563</v>
      </c>
      <c r="C535" s="26">
        <v>791885.96070000005</v>
      </c>
      <c r="D535" s="35" t="str">
        <f t="shared" si="40"/>
        <v>Bulk Sales 201710</v>
      </c>
      <c r="E535" s="33" t="str">
        <f t="shared" si="41"/>
        <v>Bulk Sales</v>
      </c>
      <c r="F535" s="36" t="str">
        <f t="shared" si="42"/>
        <v>10</v>
      </c>
      <c r="G535" s="36" t="str">
        <f t="shared" si="43"/>
        <v>2017</v>
      </c>
      <c r="H535" s="30">
        <f t="shared" si="44"/>
        <v>791885.96070000005</v>
      </c>
    </row>
    <row r="536" spans="2:8" x14ac:dyDescent="0.35">
      <c r="B536" s="28" t="s">
        <v>564</v>
      </c>
      <c r="C536" s="26">
        <v>70740</v>
      </c>
      <c r="D536" s="35" t="str">
        <f t="shared" si="40"/>
        <v>Bulk Sales Tooling 201710</v>
      </c>
      <c r="E536" s="33" t="str">
        <f t="shared" si="41"/>
        <v>Bulk Sales Tooling</v>
      </c>
      <c r="F536" s="36" t="str">
        <f t="shared" si="42"/>
        <v>10</v>
      </c>
      <c r="G536" s="36" t="str">
        <f t="shared" si="43"/>
        <v>2017</v>
      </c>
      <c r="H536" s="30">
        <f t="shared" si="44"/>
        <v>70740</v>
      </c>
    </row>
    <row r="537" spans="2:8" x14ac:dyDescent="0.35">
      <c r="B537" s="28" t="s">
        <v>565</v>
      </c>
      <c r="C537" s="26">
        <v>494472.13199999998</v>
      </c>
      <c r="D537" s="35" t="str">
        <f t="shared" si="40"/>
        <v>Consumer Sales 201710</v>
      </c>
      <c r="E537" s="33" t="str">
        <f t="shared" si="41"/>
        <v>Consumer Sales</v>
      </c>
      <c r="F537" s="36" t="str">
        <f t="shared" si="42"/>
        <v>10</v>
      </c>
      <c r="G537" s="36" t="str">
        <f t="shared" si="43"/>
        <v>2017</v>
      </c>
      <c r="H537" s="30">
        <f t="shared" si="44"/>
        <v>494472.13199999998</v>
      </c>
    </row>
    <row r="538" spans="2:8" x14ac:dyDescent="0.35">
      <c r="B538" s="28" t="s">
        <v>566</v>
      </c>
      <c r="C538" s="26">
        <v>14112</v>
      </c>
      <c r="D538" s="35" t="str">
        <f t="shared" si="40"/>
        <v>Consumer Sales Tooling 201710</v>
      </c>
      <c r="E538" s="33" t="str">
        <f t="shared" si="41"/>
        <v>Consumer Sales Tooling</v>
      </c>
      <c r="F538" s="36" t="str">
        <f t="shared" si="42"/>
        <v>10</v>
      </c>
      <c r="G538" s="36" t="str">
        <f t="shared" si="43"/>
        <v>2017</v>
      </c>
      <c r="H538" s="30">
        <f t="shared" si="44"/>
        <v>14112</v>
      </c>
    </row>
    <row r="539" spans="2:8" x14ac:dyDescent="0.35">
      <c r="B539" s="28" t="s">
        <v>567</v>
      </c>
      <c r="C539" s="26">
        <v>22089.599999999999</v>
      </c>
      <c r="D539" s="35" t="str">
        <f t="shared" si="40"/>
        <v>Electronics Sales 201710</v>
      </c>
      <c r="E539" s="33" t="str">
        <f t="shared" si="41"/>
        <v>Electronics Sales</v>
      </c>
      <c r="F539" s="36" t="str">
        <f t="shared" si="42"/>
        <v>10</v>
      </c>
      <c r="G539" s="36" t="str">
        <f t="shared" si="43"/>
        <v>2017</v>
      </c>
      <c r="H539" s="30">
        <f t="shared" si="44"/>
        <v>22089.599999999999</v>
      </c>
    </row>
    <row r="540" spans="2:8" x14ac:dyDescent="0.35">
      <c r="B540" s="28" t="s">
        <v>568</v>
      </c>
      <c r="C540" s="26">
        <v>0</v>
      </c>
      <c r="D540" s="35" t="str">
        <f t="shared" si="40"/>
        <v>Electronics Sales Tooling 201710</v>
      </c>
      <c r="E540" s="33" t="str">
        <f t="shared" si="41"/>
        <v>Electronics Sales Tooling</v>
      </c>
      <c r="F540" s="36" t="str">
        <f t="shared" si="42"/>
        <v>10</v>
      </c>
      <c r="G540" s="36" t="str">
        <f t="shared" si="43"/>
        <v>2017</v>
      </c>
      <c r="H540" s="30">
        <f t="shared" si="44"/>
        <v>0</v>
      </c>
    </row>
    <row r="541" spans="2:8" x14ac:dyDescent="0.35">
      <c r="B541" s="28" t="s">
        <v>569</v>
      </c>
      <c r="C541" s="26">
        <v>23504.175000000003</v>
      </c>
      <c r="D541" s="35" t="str">
        <f t="shared" si="40"/>
        <v>Mechanic Sales 201710</v>
      </c>
      <c r="E541" s="33" t="str">
        <f t="shared" si="41"/>
        <v>Mechanic Sales</v>
      </c>
      <c r="F541" s="36" t="str">
        <f t="shared" si="42"/>
        <v>10</v>
      </c>
      <c r="G541" s="36" t="str">
        <f t="shared" si="43"/>
        <v>2017</v>
      </c>
      <c r="H541" s="30">
        <f t="shared" si="44"/>
        <v>23504.175000000003</v>
      </c>
    </row>
    <row r="542" spans="2:8" x14ac:dyDescent="0.35">
      <c r="B542" s="28" t="s">
        <v>570</v>
      </c>
      <c r="C542" s="26">
        <v>50971.5</v>
      </c>
      <c r="D542" s="35" t="str">
        <f t="shared" si="40"/>
        <v>Mechanic Sales Tooling 201710</v>
      </c>
      <c r="E542" s="33" t="str">
        <f t="shared" si="41"/>
        <v>Mechanic Sales Tooling</v>
      </c>
      <c r="F542" s="36" t="str">
        <f t="shared" si="42"/>
        <v>10</v>
      </c>
      <c r="G542" s="36" t="str">
        <f t="shared" si="43"/>
        <v>2017</v>
      </c>
      <c r="H542" s="30">
        <f t="shared" si="44"/>
        <v>50971.5</v>
      </c>
    </row>
    <row r="543" spans="2:8" x14ac:dyDescent="0.35">
      <c r="B543" s="28" t="s">
        <v>571</v>
      </c>
      <c r="C543" s="26">
        <v>0</v>
      </c>
      <c r="D543" s="35" t="str">
        <f t="shared" si="40"/>
        <v>Non Operating sales201710</v>
      </c>
      <c r="E543" s="33" t="str">
        <f t="shared" si="41"/>
        <v>Non Operating sale</v>
      </c>
      <c r="F543" s="36" t="str">
        <f t="shared" si="42"/>
        <v>10</v>
      </c>
      <c r="G543" s="36" t="str">
        <f t="shared" si="43"/>
        <v>2017</v>
      </c>
      <c r="H543" s="30">
        <f t="shared" si="44"/>
        <v>0</v>
      </c>
    </row>
    <row r="544" spans="2:8" x14ac:dyDescent="0.35">
      <c r="B544" s="28" t="s">
        <v>572</v>
      </c>
      <c r="C544" s="26">
        <v>193660.36440000002</v>
      </c>
      <c r="D544" s="35" t="str">
        <f t="shared" si="40"/>
        <v>Partner Sales 201710</v>
      </c>
      <c r="E544" s="33" t="str">
        <f t="shared" si="41"/>
        <v>Partner Sales</v>
      </c>
      <c r="F544" s="36" t="str">
        <f t="shared" si="42"/>
        <v>10</v>
      </c>
      <c r="G544" s="36" t="str">
        <f t="shared" si="43"/>
        <v>2017</v>
      </c>
      <c r="H544" s="30">
        <f t="shared" si="44"/>
        <v>193660.36440000002</v>
      </c>
    </row>
    <row r="545" spans="2:8" x14ac:dyDescent="0.35">
      <c r="B545" s="28" t="s">
        <v>573</v>
      </c>
      <c r="C545" s="26">
        <v>0</v>
      </c>
      <c r="D545" s="35" t="str">
        <f t="shared" si="40"/>
        <v>Partner Sales Tooling 201710</v>
      </c>
      <c r="E545" s="33" t="str">
        <f t="shared" si="41"/>
        <v>Partner Sales Tooling</v>
      </c>
      <c r="F545" s="36" t="str">
        <f t="shared" si="42"/>
        <v>10</v>
      </c>
      <c r="G545" s="36" t="str">
        <f t="shared" si="43"/>
        <v>2017</v>
      </c>
      <c r="H545" s="30">
        <f t="shared" si="44"/>
        <v>0</v>
      </c>
    </row>
    <row r="546" spans="2:8" x14ac:dyDescent="0.35">
      <c r="B546" s="28" t="s">
        <v>574</v>
      </c>
      <c r="C546" s="26">
        <v>-1542.4079999999999</v>
      </c>
      <c r="D546" s="35" t="str">
        <f t="shared" si="40"/>
        <v>Sales - Discounts 201710</v>
      </c>
      <c r="E546" s="33" t="str">
        <f t="shared" si="41"/>
        <v>Sales - Discounts</v>
      </c>
      <c r="F546" s="36" t="str">
        <f t="shared" si="42"/>
        <v>10</v>
      </c>
      <c r="G546" s="36" t="str">
        <f t="shared" si="43"/>
        <v>2017</v>
      </c>
      <c r="H546" s="30">
        <f t="shared" si="44"/>
        <v>-1542.4079999999999</v>
      </c>
    </row>
    <row r="547" spans="2:8" x14ac:dyDescent="0.35">
      <c r="B547" s="28" t="s">
        <v>575</v>
      </c>
      <c r="C547" s="26">
        <v>217.4238</v>
      </c>
      <c r="D547" s="35" t="str">
        <f t="shared" si="40"/>
        <v>Sales - Freight Out 201710</v>
      </c>
      <c r="E547" s="33" t="str">
        <f t="shared" si="41"/>
        <v>Sales - Freight Out</v>
      </c>
      <c r="F547" s="36" t="str">
        <f t="shared" si="42"/>
        <v>10</v>
      </c>
      <c r="G547" s="36" t="str">
        <f t="shared" si="43"/>
        <v>2017</v>
      </c>
      <c r="H547" s="30">
        <f t="shared" si="44"/>
        <v>217.4238</v>
      </c>
    </row>
    <row r="548" spans="2:8" x14ac:dyDescent="0.35">
      <c r="B548" s="28" t="s">
        <v>576</v>
      </c>
      <c r="C548" s="26">
        <v>-14966.1625</v>
      </c>
      <c r="D548" s="35" t="str">
        <f t="shared" si="40"/>
        <v>Sales - Returns 201710</v>
      </c>
      <c r="E548" s="33" t="str">
        <f t="shared" si="41"/>
        <v>Sales - Returns</v>
      </c>
      <c r="F548" s="36" t="str">
        <f t="shared" si="42"/>
        <v>10</v>
      </c>
      <c r="G548" s="36" t="str">
        <f t="shared" si="43"/>
        <v>2017</v>
      </c>
      <c r="H548" s="30">
        <f t="shared" si="44"/>
        <v>-14966.1625</v>
      </c>
    </row>
    <row r="549" spans="2:8" x14ac:dyDescent="0.35">
      <c r="B549" s="28" t="s">
        <v>577</v>
      </c>
      <c r="C549" s="26">
        <v>264691.97039999999</v>
      </c>
      <c r="D549" s="35" t="str">
        <f t="shared" si="40"/>
        <v>Automotive Sales 201711</v>
      </c>
      <c r="E549" s="33" t="str">
        <f t="shared" si="41"/>
        <v>Automotive Sales</v>
      </c>
      <c r="F549" s="36" t="str">
        <f t="shared" si="42"/>
        <v>11</v>
      </c>
      <c r="G549" s="36" t="str">
        <f t="shared" si="43"/>
        <v>2017</v>
      </c>
      <c r="H549" s="30">
        <f t="shared" si="44"/>
        <v>264691.97039999999</v>
      </c>
    </row>
    <row r="550" spans="2:8" x14ac:dyDescent="0.35">
      <c r="B550" s="28" t="s">
        <v>578</v>
      </c>
      <c r="C550" s="26">
        <v>0</v>
      </c>
      <c r="D550" s="35" t="str">
        <f t="shared" si="40"/>
        <v>Automotive Sales Tooling 201711</v>
      </c>
      <c r="E550" s="33" t="str">
        <f t="shared" si="41"/>
        <v>Automotive Sales Tooling</v>
      </c>
      <c r="F550" s="36" t="str">
        <f t="shared" si="42"/>
        <v>11</v>
      </c>
      <c r="G550" s="36" t="str">
        <f t="shared" si="43"/>
        <v>2017</v>
      </c>
      <c r="H550" s="30">
        <f t="shared" si="44"/>
        <v>0</v>
      </c>
    </row>
    <row r="551" spans="2:8" x14ac:dyDescent="0.35">
      <c r="B551" s="28" t="s">
        <v>579</v>
      </c>
      <c r="C551" s="26">
        <v>689834.74610000011</v>
      </c>
      <c r="D551" s="35" t="str">
        <f t="shared" si="40"/>
        <v>Bulk Sales 201711</v>
      </c>
      <c r="E551" s="33" t="str">
        <f t="shared" si="41"/>
        <v>Bulk Sales</v>
      </c>
      <c r="F551" s="36" t="str">
        <f t="shared" si="42"/>
        <v>11</v>
      </c>
      <c r="G551" s="36" t="str">
        <f t="shared" si="43"/>
        <v>2017</v>
      </c>
      <c r="H551" s="30">
        <f t="shared" si="44"/>
        <v>689834.74610000011</v>
      </c>
    </row>
    <row r="552" spans="2:8" x14ac:dyDescent="0.35">
      <c r="B552" s="28" t="s">
        <v>580</v>
      </c>
      <c r="C552" s="26">
        <v>0</v>
      </c>
      <c r="D552" s="35" t="str">
        <f t="shared" si="40"/>
        <v>Bulk Sales Tooling 201711</v>
      </c>
      <c r="E552" s="33" t="str">
        <f t="shared" si="41"/>
        <v>Bulk Sales Tooling</v>
      </c>
      <c r="F552" s="36" t="str">
        <f t="shared" si="42"/>
        <v>11</v>
      </c>
      <c r="G552" s="36" t="str">
        <f t="shared" si="43"/>
        <v>2017</v>
      </c>
      <c r="H552" s="30">
        <f t="shared" si="44"/>
        <v>0</v>
      </c>
    </row>
    <row r="553" spans="2:8" x14ac:dyDescent="0.35">
      <c r="B553" s="28" t="s">
        <v>581</v>
      </c>
      <c r="C553" s="26">
        <v>604308.99599999993</v>
      </c>
      <c r="D553" s="35" t="str">
        <f t="shared" si="40"/>
        <v>Consumer Sales 201711</v>
      </c>
      <c r="E553" s="33" t="str">
        <f t="shared" si="41"/>
        <v>Consumer Sales</v>
      </c>
      <c r="F553" s="36" t="str">
        <f t="shared" si="42"/>
        <v>11</v>
      </c>
      <c r="G553" s="36" t="str">
        <f t="shared" si="43"/>
        <v>2017</v>
      </c>
      <c r="H553" s="30">
        <f t="shared" si="44"/>
        <v>604308.99599999993</v>
      </c>
    </row>
    <row r="554" spans="2:8" x14ac:dyDescent="0.35">
      <c r="B554" s="28" t="s">
        <v>582</v>
      </c>
      <c r="C554" s="26">
        <v>0</v>
      </c>
      <c r="D554" s="35" t="str">
        <f t="shared" si="40"/>
        <v>Consumer Sales Tooling 201711</v>
      </c>
      <c r="E554" s="33" t="str">
        <f t="shared" si="41"/>
        <v>Consumer Sales Tooling</v>
      </c>
      <c r="F554" s="36" t="str">
        <f t="shared" si="42"/>
        <v>11</v>
      </c>
      <c r="G554" s="36" t="str">
        <f t="shared" si="43"/>
        <v>2017</v>
      </c>
      <c r="H554" s="30">
        <f t="shared" si="44"/>
        <v>0</v>
      </c>
    </row>
    <row r="555" spans="2:8" x14ac:dyDescent="0.35">
      <c r="B555" s="28" t="s">
        <v>583</v>
      </c>
      <c r="C555" s="26">
        <v>9129.6</v>
      </c>
      <c r="D555" s="35" t="str">
        <f t="shared" si="40"/>
        <v>Electronics Sales 201711</v>
      </c>
      <c r="E555" s="33" t="str">
        <f t="shared" si="41"/>
        <v>Electronics Sales</v>
      </c>
      <c r="F555" s="36" t="str">
        <f t="shared" si="42"/>
        <v>11</v>
      </c>
      <c r="G555" s="36" t="str">
        <f t="shared" si="43"/>
        <v>2017</v>
      </c>
      <c r="H555" s="30">
        <f t="shared" si="44"/>
        <v>9129.6</v>
      </c>
    </row>
    <row r="556" spans="2:8" x14ac:dyDescent="0.35">
      <c r="B556" s="28" t="s">
        <v>584</v>
      </c>
      <c r="C556" s="26">
        <v>0</v>
      </c>
      <c r="D556" s="35" t="str">
        <f t="shared" si="40"/>
        <v>Electronics Sales Tooling 201711</v>
      </c>
      <c r="E556" s="33" t="str">
        <f t="shared" si="41"/>
        <v>Electronics Sales Tooling</v>
      </c>
      <c r="F556" s="36" t="str">
        <f t="shared" si="42"/>
        <v>11</v>
      </c>
      <c r="G556" s="36" t="str">
        <f t="shared" si="43"/>
        <v>2017</v>
      </c>
      <c r="H556" s="30">
        <f t="shared" si="44"/>
        <v>0</v>
      </c>
    </row>
    <row r="557" spans="2:8" x14ac:dyDescent="0.35">
      <c r="B557" s="28" t="s">
        <v>585</v>
      </c>
      <c r="C557" s="26">
        <v>79588.98</v>
      </c>
      <c r="D557" s="35" t="str">
        <f t="shared" si="40"/>
        <v>Mechanic Sales 201711</v>
      </c>
      <c r="E557" s="33" t="str">
        <f t="shared" si="41"/>
        <v>Mechanic Sales</v>
      </c>
      <c r="F557" s="36" t="str">
        <f t="shared" si="42"/>
        <v>11</v>
      </c>
      <c r="G557" s="36" t="str">
        <f t="shared" si="43"/>
        <v>2017</v>
      </c>
      <c r="H557" s="30">
        <f t="shared" si="44"/>
        <v>79588.98</v>
      </c>
    </row>
    <row r="558" spans="2:8" x14ac:dyDescent="0.35">
      <c r="B558" s="28" t="s">
        <v>586</v>
      </c>
      <c r="C558" s="26">
        <v>0</v>
      </c>
      <c r="D558" s="35" t="str">
        <f t="shared" si="40"/>
        <v>Mechanic Sales Tooling 201711</v>
      </c>
      <c r="E558" s="33" t="str">
        <f t="shared" si="41"/>
        <v>Mechanic Sales Tooling</v>
      </c>
      <c r="F558" s="36" t="str">
        <f t="shared" si="42"/>
        <v>11</v>
      </c>
      <c r="G558" s="36" t="str">
        <f t="shared" si="43"/>
        <v>2017</v>
      </c>
      <c r="H558" s="30">
        <f t="shared" si="44"/>
        <v>0</v>
      </c>
    </row>
    <row r="559" spans="2:8" x14ac:dyDescent="0.35">
      <c r="B559" s="28" t="s">
        <v>587</v>
      </c>
      <c r="C559" s="26">
        <v>0</v>
      </c>
      <c r="D559" s="35" t="str">
        <f t="shared" si="40"/>
        <v>Non Operating sales201711</v>
      </c>
      <c r="E559" s="33" t="str">
        <f t="shared" si="41"/>
        <v>Non Operating sale</v>
      </c>
      <c r="F559" s="36" t="str">
        <f t="shared" si="42"/>
        <v>11</v>
      </c>
      <c r="G559" s="36" t="str">
        <f t="shared" si="43"/>
        <v>2017</v>
      </c>
      <c r="H559" s="30">
        <f t="shared" si="44"/>
        <v>0</v>
      </c>
    </row>
    <row r="560" spans="2:8" x14ac:dyDescent="0.35">
      <c r="B560" s="28" t="s">
        <v>588</v>
      </c>
      <c r="C560" s="26">
        <v>183306.21119999999</v>
      </c>
      <c r="D560" s="35" t="str">
        <f t="shared" si="40"/>
        <v>Partner Sales 201711</v>
      </c>
      <c r="E560" s="33" t="str">
        <f t="shared" si="41"/>
        <v>Partner Sales</v>
      </c>
      <c r="F560" s="36" t="str">
        <f t="shared" si="42"/>
        <v>11</v>
      </c>
      <c r="G560" s="36" t="str">
        <f t="shared" si="43"/>
        <v>2017</v>
      </c>
      <c r="H560" s="30">
        <f t="shared" si="44"/>
        <v>183306.21119999999</v>
      </c>
    </row>
    <row r="561" spans="2:8" x14ac:dyDescent="0.35">
      <c r="B561" s="28" t="s">
        <v>589</v>
      </c>
      <c r="C561" s="26">
        <v>929.99999999999989</v>
      </c>
      <c r="D561" s="35" t="str">
        <f t="shared" si="40"/>
        <v>Partner Sales Tooling 201711</v>
      </c>
      <c r="E561" s="33" t="str">
        <f t="shared" si="41"/>
        <v>Partner Sales Tooling</v>
      </c>
      <c r="F561" s="36" t="str">
        <f t="shared" si="42"/>
        <v>11</v>
      </c>
      <c r="G561" s="36" t="str">
        <f t="shared" si="43"/>
        <v>2017</v>
      </c>
      <c r="H561" s="30">
        <f t="shared" si="44"/>
        <v>929.99999999999989</v>
      </c>
    </row>
    <row r="562" spans="2:8" x14ac:dyDescent="0.35">
      <c r="B562" s="28" t="s">
        <v>590</v>
      </c>
      <c r="C562" s="26">
        <v>-3073.35</v>
      </c>
      <c r="D562" s="35" t="str">
        <f t="shared" si="40"/>
        <v>Sales - Discounts 201711</v>
      </c>
      <c r="E562" s="33" t="str">
        <f t="shared" si="41"/>
        <v>Sales - Discounts</v>
      </c>
      <c r="F562" s="36" t="str">
        <f t="shared" si="42"/>
        <v>11</v>
      </c>
      <c r="G562" s="36" t="str">
        <f t="shared" si="43"/>
        <v>2017</v>
      </c>
      <c r="H562" s="30">
        <f t="shared" si="44"/>
        <v>-3073.35</v>
      </c>
    </row>
    <row r="563" spans="2:8" x14ac:dyDescent="0.35">
      <c r="B563" s="28" t="s">
        <v>591</v>
      </c>
      <c r="C563" s="26">
        <v>342.71840000000003</v>
      </c>
      <c r="D563" s="35" t="str">
        <f t="shared" si="40"/>
        <v>Sales - Freight Out 201711</v>
      </c>
      <c r="E563" s="33" t="str">
        <f t="shared" si="41"/>
        <v>Sales - Freight Out</v>
      </c>
      <c r="F563" s="36" t="str">
        <f t="shared" si="42"/>
        <v>11</v>
      </c>
      <c r="G563" s="36" t="str">
        <f t="shared" si="43"/>
        <v>2017</v>
      </c>
      <c r="H563" s="30">
        <f t="shared" si="44"/>
        <v>342.71840000000003</v>
      </c>
    </row>
    <row r="564" spans="2:8" x14ac:dyDescent="0.35">
      <c r="B564" s="28" t="s">
        <v>592</v>
      </c>
      <c r="C564" s="26">
        <v>-45124.237500000003</v>
      </c>
      <c r="D564" s="35" t="str">
        <f t="shared" si="40"/>
        <v>Sales - Returns 201711</v>
      </c>
      <c r="E564" s="33" t="str">
        <f t="shared" si="41"/>
        <v>Sales - Returns</v>
      </c>
      <c r="F564" s="36" t="str">
        <f t="shared" si="42"/>
        <v>11</v>
      </c>
      <c r="G564" s="36" t="str">
        <f t="shared" si="43"/>
        <v>2017</v>
      </c>
      <c r="H564" s="30">
        <f t="shared" si="44"/>
        <v>-45124.237500000003</v>
      </c>
    </row>
    <row r="565" spans="2:8" x14ac:dyDescent="0.35">
      <c r="B565" s="28" t="s">
        <v>593</v>
      </c>
      <c r="C565" s="26">
        <v>123970.31789999999</v>
      </c>
      <c r="D565" s="35" t="str">
        <f t="shared" si="40"/>
        <v>Automotive Sales 201712</v>
      </c>
      <c r="E565" s="33" t="str">
        <f t="shared" si="41"/>
        <v>Automotive Sales</v>
      </c>
      <c r="F565" s="36" t="str">
        <f t="shared" si="42"/>
        <v>12</v>
      </c>
      <c r="G565" s="36" t="str">
        <f t="shared" si="43"/>
        <v>2017</v>
      </c>
      <c r="H565" s="30">
        <f t="shared" si="44"/>
        <v>123970.31789999999</v>
      </c>
    </row>
    <row r="566" spans="2:8" x14ac:dyDescent="0.35">
      <c r="B566" s="28" t="s">
        <v>594</v>
      </c>
      <c r="C566" s="26">
        <v>56155.832000000002</v>
      </c>
      <c r="D566" s="35" t="str">
        <f t="shared" si="40"/>
        <v>Automotive Sales Tooling 201712</v>
      </c>
      <c r="E566" s="33" t="str">
        <f t="shared" si="41"/>
        <v>Automotive Sales Tooling</v>
      </c>
      <c r="F566" s="36" t="str">
        <f t="shared" si="42"/>
        <v>12</v>
      </c>
      <c r="G566" s="36" t="str">
        <f t="shared" si="43"/>
        <v>2017</v>
      </c>
      <c r="H566" s="30">
        <f t="shared" si="44"/>
        <v>56155.832000000002</v>
      </c>
    </row>
    <row r="567" spans="2:8" x14ac:dyDescent="0.35">
      <c r="B567" s="28" t="s">
        <v>595</v>
      </c>
      <c r="C567" s="26">
        <v>883712.97470000002</v>
      </c>
      <c r="D567" s="35" t="str">
        <f t="shared" si="40"/>
        <v>Bulk Sales 201712</v>
      </c>
      <c r="E567" s="33" t="str">
        <f t="shared" si="41"/>
        <v>Bulk Sales</v>
      </c>
      <c r="F567" s="36" t="str">
        <f t="shared" si="42"/>
        <v>12</v>
      </c>
      <c r="G567" s="36" t="str">
        <f t="shared" si="43"/>
        <v>2017</v>
      </c>
      <c r="H567" s="30">
        <f t="shared" si="44"/>
        <v>883712.97470000002</v>
      </c>
    </row>
    <row r="568" spans="2:8" x14ac:dyDescent="0.35">
      <c r="B568" s="28" t="s">
        <v>596</v>
      </c>
      <c r="C568" s="26">
        <v>79128</v>
      </c>
      <c r="D568" s="35" t="str">
        <f t="shared" si="40"/>
        <v>Bulk Sales Tooling 201712</v>
      </c>
      <c r="E568" s="33" t="str">
        <f t="shared" si="41"/>
        <v>Bulk Sales Tooling</v>
      </c>
      <c r="F568" s="36" t="str">
        <f t="shared" si="42"/>
        <v>12</v>
      </c>
      <c r="G568" s="36" t="str">
        <f t="shared" si="43"/>
        <v>2017</v>
      </c>
      <c r="H568" s="30">
        <f t="shared" si="44"/>
        <v>79128</v>
      </c>
    </row>
    <row r="569" spans="2:8" x14ac:dyDescent="0.35">
      <c r="B569" s="28" t="s">
        <v>597</v>
      </c>
      <c r="C569" s="26">
        <v>768382.64639999997</v>
      </c>
      <c r="D569" s="35" t="str">
        <f t="shared" si="40"/>
        <v>Consumer Sales 201712</v>
      </c>
      <c r="E569" s="33" t="str">
        <f t="shared" si="41"/>
        <v>Consumer Sales</v>
      </c>
      <c r="F569" s="36" t="str">
        <f t="shared" si="42"/>
        <v>12</v>
      </c>
      <c r="G569" s="36" t="str">
        <f t="shared" si="43"/>
        <v>2017</v>
      </c>
      <c r="H569" s="30">
        <f t="shared" si="44"/>
        <v>768382.64639999997</v>
      </c>
    </row>
    <row r="570" spans="2:8" x14ac:dyDescent="0.35">
      <c r="B570" s="28" t="s">
        <v>598</v>
      </c>
      <c r="C570" s="26">
        <v>80136</v>
      </c>
      <c r="D570" s="35" t="str">
        <f t="shared" si="40"/>
        <v>Consumer Sales Tooling 201712</v>
      </c>
      <c r="E570" s="33" t="str">
        <f t="shared" si="41"/>
        <v>Consumer Sales Tooling</v>
      </c>
      <c r="F570" s="36" t="str">
        <f t="shared" si="42"/>
        <v>12</v>
      </c>
      <c r="G570" s="36" t="str">
        <f t="shared" si="43"/>
        <v>2017</v>
      </c>
      <c r="H570" s="30">
        <f t="shared" si="44"/>
        <v>80136</v>
      </c>
    </row>
    <row r="571" spans="2:8" x14ac:dyDescent="0.35">
      <c r="B571" s="28" t="s">
        <v>599</v>
      </c>
      <c r="C571" s="26">
        <v>18634.7376</v>
      </c>
      <c r="D571" s="35" t="str">
        <f t="shared" si="40"/>
        <v>Electronics Sales 201712</v>
      </c>
      <c r="E571" s="33" t="str">
        <f t="shared" si="41"/>
        <v>Electronics Sales</v>
      </c>
      <c r="F571" s="36" t="str">
        <f t="shared" si="42"/>
        <v>12</v>
      </c>
      <c r="G571" s="36" t="str">
        <f t="shared" si="43"/>
        <v>2017</v>
      </c>
      <c r="H571" s="30">
        <f t="shared" si="44"/>
        <v>18634.7376</v>
      </c>
    </row>
    <row r="572" spans="2:8" x14ac:dyDescent="0.35">
      <c r="B572" s="28" t="s">
        <v>600</v>
      </c>
      <c r="C572" s="26">
        <v>0</v>
      </c>
      <c r="D572" s="35" t="str">
        <f t="shared" si="40"/>
        <v>Electronics Sales Tooling 201712</v>
      </c>
      <c r="E572" s="33" t="str">
        <f t="shared" si="41"/>
        <v>Electronics Sales Tooling</v>
      </c>
      <c r="F572" s="36" t="str">
        <f t="shared" si="42"/>
        <v>12</v>
      </c>
      <c r="G572" s="36" t="str">
        <f t="shared" si="43"/>
        <v>2017</v>
      </c>
      <c r="H572" s="30">
        <f t="shared" si="44"/>
        <v>0</v>
      </c>
    </row>
    <row r="573" spans="2:8" x14ac:dyDescent="0.35">
      <c r="B573" s="28" t="s">
        <v>601</v>
      </c>
      <c r="C573" s="26">
        <v>126114.435</v>
      </c>
      <c r="D573" s="35" t="str">
        <f t="shared" si="40"/>
        <v>Mechanic Sales 201712</v>
      </c>
      <c r="E573" s="33" t="str">
        <f t="shared" si="41"/>
        <v>Mechanic Sales</v>
      </c>
      <c r="F573" s="36" t="str">
        <f t="shared" si="42"/>
        <v>12</v>
      </c>
      <c r="G573" s="36" t="str">
        <f t="shared" si="43"/>
        <v>2017</v>
      </c>
      <c r="H573" s="30">
        <f t="shared" si="44"/>
        <v>126114.435</v>
      </c>
    </row>
    <row r="574" spans="2:8" x14ac:dyDescent="0.35">
      <c r="B574" s="28" t="s">
        <v>602</v>
      </c>
      <c r="C574" s="26">
        <v>14035.14</v>
      </c>
      <c r="D574" s="35" t="str">
        <f t="shared" si="40"/>
        <v>Mechanic Sales Tooling 201712</v>
      </c>
      <c r="E574" s="33" t="str">
        <f t="shared" si="41"/>
        <v>Mechanic Sales Tooling</v>
      </c>
      <c r="F574" s="36" t="str">
        <f t="shared" si="42"/>
        <v>12</v>
      </c>
      <c r="G574" s="36" t="str">
        <f t="shared" si="43"/>
        <v>2017</v>
      </c>
      <c r="H574" s="30">
        <f t="shared" si="44"/>
        <v>14035.14</v>
      </c>
    </row>
    <row r="575" spans="2:8" x14ac:dyDescent="0.35">
      <c r="B575" s="28" t="s">
        <v>603</v>
      </c>
      <c r="C575" s="26">
        <v>11224.376</v>
      </c>
      <c r="D575" s="35" t="str">
        <f t="shared" si="40"/>
        <v>Non Operating sales201712</v>
      </c>
      <c r="E575" s="33" t="str">
        <f t="shared" si="41"/>
        <v>Non Operating sale</v>
      </c>
      <c r="F575" s="36" t="str">
        <f t="shared" si="42"/>
        <v>12</v>
      </c>
      <c r="G575" s="36" t="str">
        <f t="shared" si="43"/>
        <v>2017</v>
      </c>
      <c r="H575" s="30">
        <f t="shared" si="44"/>
        <v>11224.376</v>
      </c>
    </row>
    <row r="576" spans="2:8" x14ac:dyDescent="0.35">
      <c r="B576" s="28" t="s">
        <v>604</v>
      </c>
      <c r="C576" s="26">
        <v>253316.54800000004</v>
      </c>
      <c r="D576" s="35" t="str">
        <f t="shared" si="40"/>
        <v>Partner Sales 201712</v>
      </c>
      <c r="E576" s="33" t="str">
        <f t="shared" si="41"/>
        <v>Partner Sales</v>
      </c>
      <c r="F576" s="36" t="str">
        <f t="shared" si="42"/>
        <v>12</v>
      </c>
      <c r="G576" s="36" t="str">
        <f t="shared" si="43"/>
        <v>2017</v>
      </c>
      <c r="H576" s="30">
        <f t="shared" si="44"/>
        <v>253316.54800000004</v>
      </c>
    </row>
    <row r="577" spans="2:8" x14ac:dyDescent="0.35">
      <c r="B577" s="1" t="s">
        <v>605</v>
      </c>
      <c r="C577" s="1">
        <v>23157</v>
      </c>
      <c r="D577" s="35" t="str">
        <f t="shared" si="40"/>
        <v>Partner Sales Tooling 201712</v>
      </c>
      <c r="E577" s="33" t="str">
        <f t="shared" si="41"/>
        <v>Partner Sales Tooling</v>
      </c>
      <c r="F577" s="36" t="str">
        <f t="shared" si="42"/>
        <v>12</v>
      </c>
      <c r="G577" s="36" t="str">
        <f t="shared" si="43"/>
        <v>2017</v>
      </c>
      <c r="H577" s="30">
        <f t="shared" si="44"/>
        <v>23157</v>
      </c>
    </row>
    <row r="578" spans="2:8" x14ac:dyDescent="0.35">
      <c r="B578" s="1" t="s">
        <v>606</v>
      </c>
      <c r="C578" s="1">
        <v>-2075.71</v>
      </c>
      <c r="D578" s="35" t="str">
        <f t="shared" si="40"/>
        <v>Sales - Discounts 201712</v>
      </c>
      <c r="E578" s="33" t="str">
        <f t="shared" si="41"/>
        <v>Sales - Discounts</v>
      </c>
      <c r="F578" s="36" t="str">
        <f t="shared" si="42"/>
        <v>12</v>
      </c>
      <c r="G578" s="36" t="str">
        <f t="shared" si="43"/>
        <v>2017</v>
      </c>
      <c r="H578" s="30">
        <f t="shared" si="44"/>
        <v>-2075.71</v>
      </c>
    </row>
    <row r="579" spans="2:8" x14ac:dyDescent="0.35">
      <c r="B579" s="1" t="s">
        <v>607</v>
      </c>
      <c r="C579" s="1">
        <v>788.14390000000003</v>
      </c>
      <c r="D579" s="35" t="str">
        <f t="shared" si="40"/>
        <v>Sales - Freight Out 201712</v>
      </c>
      <c r="E579" s="33" t="str">
        <f t="shared" si="41"/>
        <v>Sales - Freight Out</v>
      </c>
      <c r="F579" s="36" t="str">
        <f t="shared" si="42"/>
        <v>12</v>
      </c>
      <c r="G579" s="36" t="str">
        <f t="shared" si="43"/>
        <v>2017</v>
      </c>
      <c r="H579" s="30">
        <f t="shared" si="44"/>
        <v>788.14390000000003</v>
      </c>
    </row>
    <row r="580" spans="2:8" x14ac:dyDescent="0.35">
      <c r="B580" s="1" t="s">
        <v>608</v>
      </c>
      <c r="C580" s="1">
        <v>-46050.55</v>
      </c>
      <c r="D580" s="35" t="str">
        <f t="shared" si="40"/>
        <v>Sales - Returns 201712</v>
      </c>
      <c r="E580" s="33" t="str">
        <f t="shared" si="41"/>
        <v>Sales - Returns</v>
      </c>
      <c r="F580" s="36" t="str">
        <f t="shared" si="42"/>
        <v>12</v>
      </c>
      <c r="G580" s="36" t="str">
        <f t="shared" si="43"/>
        <v>2017</v>
      </c>
      <c r="H580" s="30">
        <f t="shared" si="44"/>
        <v>-46050.55</v>
      </c>
    </row>
    <row r="582" spans="2:8" x14ac:dyDescent="0.35">
      <c r="F582" s="37"/>
      <c r="G582" s="2" t="s">
        <v>31</v>
      </c>
      <c r="H582" s="11">
        <f>SUMIFS($H$5:$H$580,$F$5:$F$580,2,$G$5:$G$580,2018)</f>
        <v>1495505.7050999999</v>
      </c>
    </row>
    <row r="583" spans="2:8" x14ac:dyDescent="0.35">
      <c r="F583" s="37"/>
      <c r="G583" s="2" t="s">
        <v>613</v>
      </c>
      <c r="H583" s="11">
        <f>SUMIF($E$5:$E$580,"Mechanic Sales Tooling",$H$5:$H$580)</f>
        <v>887104.68659999978</v>
      </c>
    </row>
    <row r="584" spans="2:8" x14ac:dyDescent="0.35">
      <c r="F584" s="37"/>
      <c r="G584" s="2" t="s">
        <v>614</v>
      </c>
      <c r="H584" s="11">
        <f>COUNTIF(H5:H580,"&lt;0")</f>
        <v>98</v>
      </c>
    </row>
    <row r="585" spans="2:8" x14ac:dyDescent="0.35">
      <c r="F585" s="37"/>
      <c r="H585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00781-07FD-4BED-AFF2-2E3633C25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Q 1-5_Ans</vt:lpstr>
      <vt:lpstr>Q 38-40_Ans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Lai</dc:creator>
  <cp:lastModifiedBy>Aarsh Modi</cp:lastModifiedBy>
  <dcterms:created xsi:type="dcterms:W3CDTF">2015-06-05T18:17:20Z</dcterms:created>
  <dcterms:modified xsi:type="dcterms:W3CDTF">2026-09-28T23:27:58Z</dcterms:modified>
</cp:coreProperties>
</file>